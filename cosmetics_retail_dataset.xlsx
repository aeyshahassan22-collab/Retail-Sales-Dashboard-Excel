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slicers/slicer2.xml" ContentType="application/vnd.ms-excel.slicer+xml"/>
  <Override PartName="/xl/pivotTables/pivotTable4.xml" ContentType="application/vnd.openxmlformats-officedocument.spreadsheetml.pivotTab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hidePivotFieldList="1" defaultThemeVersion="124226"/>
  <mc:AlternateContent xmlns:mc="http://schemas.openxmlformats.org/markup-compatibility/2006">
    <mc:Choice Requires="x15">
      <x15ac:absPath xmlns:x15ac="http://schemas.microsoft.com/office/spreadsheetml/2010/11/ac" url="/Users/akifhasan/Downloads/"/>
    </mc:Choice>
  </mc:AlternateContent>
  <xr:revisionPtr revIDLastSave="0" documentId="13_ncr:2001_{89449907-6ECE-3248-AFB0-27B06D52ECEB}" xr6:coauthVersionLast="47" xr6:coauthVersionMax="47" xr10:uidLastSave="{00000000-0000-0000-0000-000000000000}"/>
  <bookViews>
    <workbookView xWindow="160" yWindow="920" windowWidth="33880" windowHeight="19840" activeTab="2" xr2:uid="{00000000-000D-0000-FFFF-FFFF00000000}"/>
  </bookViews>
  <sheets>
    <sheet name="Pivot_MonthlyTrend" sheetId="2" r:id="rId1"/>
    <sheet name="Pivot_StorePerformance" sheetId="3" r:id="rId2"/>
    <sheet name="Dashboard" sheetId="8" r:id="rId3"/>
    <sheet name="Pivot_Category" sheetId="10" r:id="rId4"/>
    <sheet name="Pivot_TopProducts" sheetId="6" r:id="rId5"/>
    <sheet name="SalesData" sheetId="1" r:id="rId6"/>
  </sheets>
  <definedNames>
    <definedName name="Slicer_Category">#N/A</definedName>
    <definedName name="Slicer_Region">#N/A</definedName>
    <definedName name="Slicer_Store1">#N/A</definedName>
  </definedNames>
  <calcPr calcId="191029"/>
  <pivotCaches>
    <pivotCache cacheId="168" r:id="rId7"/>
  </pivotCaches>
  <fileRecoveryPr repairLoad="1"/>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9" i="8" l="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3" i="1"/>
  <c r="L4" i="1"/>
  <c r="L5" i="1"/>
  <c r="L6" i="1"/>
  <c r="L7" i="1"/>
  <c r="L8" i="1"/>
  <c r="L9" i="1"/>
  <c r="L10" i="1"/>
  <c r="L11" i="1"/>
  <c r="L12" i="1"/>
  <c r="L2" i="1"/>
  <c r="J2" i="1"/>
  <c r="K2" i="1" s="1"/>
  <c r="J3" i="1"/>
  <c r="K3" i="1" s="1"/>
  <c r="J4" i="1"/>
  <c r="K4" i="1" s="1"/>
  <c r="J5" i="1"/>
  <c r="K5" i="1" s="1"/>
  <c r="J6" i="1"/>
  <c r="K6" i="1" s="1"/>
  <c r="J7" i="1"/>
  <c r="K7" i="1" s="1"/>
  <c r="J8" i="1"/>
  <c r="K8" i="1" s="1"/>
  <c r="J9" i="1"/>
  <c r="K9" i="1" s="1"/>
  <c r="J10" i="1"/>
  <c r="K10" i="1" s="1"/>
  <c r="J11" i="1"/>
  <c r="K11" i="1" s="1"/>
  <c r="J12" i="1"/>
  <c r="K12" i="1" s="1"/>
  <c r="J13" i="1"/>
  <c r="K13" i="1" s="1"/>
  <c r="J14" i="1"/>
  <c r="K14" i="1" s="1"/>
  <c r="J15" i="1"/>
  <c r="K15" i="1" s="1"/>
  <c r="J16" i="1"/>
  <c r="K16" i="1" s="1"/>
  <c r="J17" i="1"/>
  <c r="K17" i="1" s="1"/>
  <c r="J18" i="1"/>
  <c r="K18" i="1" s="1"/>
  <c r="J19" i="1"/>
  <c r="K19" i="1" s="1"/>
  <c r="J20" i="1"/>
  <c r="K20" i="1" s="1"/>
  <c r="J21" i="1"/>
  <c r="K21" i="1" s="1"/>
  <c r="J22" i="1"/>
  <c r="K22" i="1" s="1"/>
  <c r="J23" i="1"/>
  <c r="K23" i="1" s="1"/>
  <c r="J24" i="1"/>
  <c r="K24" i="1" s="1"/>
  <c r="J25" i="1"/>
  <c r="K25" i="1" s="1"/>
  <c r="J26" i="1"/>
  <c r="K26" i="1" s="1"/>
  <c r="J27" i="1"/>
  <c r="K27" i="1" s="1"/>
  <c r="J28" i="1"/>
  <c r="K28" i="1" s="1"/>
  <c r="J29" i="1"/>
  <c r="K29" i="1" s="1"/>
  <c r="J30" i="1"/>
  <c r="J31" i="1"/>
  <c r="K31" i="1" s="1"/>
  <c r="J32" i="1"/>
  <c r="K32" i="1" s="1"/>
  <c r="J33" i="1"/>
  <c r="K33" i="1" s="1"/>
  <c r="J34" i="1"/>
  <c r="K34" i="1" s="1"/>
  <c r="J35" i="1"/>
  <c r="K35" i="1" s="1"/>
  <c r="J36" i="1"/>
  <c r="K36" i="1" s="1"/>
  <c r="J37" i="1"/>
  <c r="K37" i="1" s="1"/>
  <c r="J38" i="1"/>
  <c r="K38" i="1" s="1"/>
  <c r="J39" i="1"/>
  <c r="K39" i="1" s="1"/>
  <c r="J40" i="1"/>
  <c r="K40" i="1" s="1"/>
  <c r="J41" i="1"/>
  <c r="K41" i="1" s="1"/>
  <c r="J42" i="1"/>
  <c r="K42" i="1" s="1"/>
  <c r="J43" i="1"/>
  <c r="K43" i="1" s="1"/>
  <c r="J44" i="1"/>
  <c r="K44" i="1" s="1"/>
  <c r="J45" i="1"/>
  <c r="K45" i="1" s="1"/>
  <c r="J46" i="1"/>
  <c r="K46" i="1" s="1"/>
  <c r="J47" i="1"/>
  <c r="K47" i="1" s="1"/>
  <c r="J48" i="1"/>
  <c r="K48" i="1" s="1"/>
  <c r="J49" i="1"/>
  <c r="K49" i="1" s="1"/>
  <c r="J50" i="1"/>
  <c r="K50" i="1" s="1"/>
  <c r="J51" i="1"/>
  <c r="K51" i="1" s="1"/>
  <c r="J52" i="1"/>
  <c r="K52" i="1" s="1"/>
  <c r="J53" i="1"/>
  <c r="K53" i="1" s="1"/>
  <c r="J54" i="1"/>
  <c r="K54" i="1" s="1"/>
  <c r="J55" i="1"/>
  <c r="K55" i="1" s="1"/>
  <c r="J56" i="1"/>
  <c r="K56" i="1" s="1"/>
  <c r="J57" i="1"/>
  <c r="K57" i="1" s="1"/>
  <c r="J58" i="1"/>
  <c r="K58" i="1" s="1"/>
  <c r="J59" i="1"/>
  <c r="K59" i="1" s="1"/>
  <c r="J60" i="1"/>
  <c r="K60" i="1" s="1"/>
  <c r="J61" i="1"/>
  <c r="K61" i="1" s="1"/>
  <c r="J62" i="1"/>
  <c r="K62" i="1" s="1"/>
  <c r="J63" i="1"/>
  <c r="K63" i="1" s="1"/>
  <c r="J64" i="1"/>
  <c r="K64" i="1" s="1"/>
  <c r="J65" i="1"/>
  <c r="K65" i="1" s="1"/>
  <c r="J66" i="1"/>
  <c r="K66" i="1" s="1"/>
  <c r="J67" i="1"/>
  <c r="K67" i="1" s="1"/>
  <c r="J68" i="1"/>
  <c r="K68" i="1" s="1"/>
  <c r="J69" i="1"/>
  <c r="K69" i="1" s="1"/>
  <c r="J70" i="1"/>
  <c r="K70" i="1" s="1"/>
  <c r="J71" i="1"/>
  <c r="K71" i="1" s="1"/>
  <c r="J72" i="1"/>
  <c r="K72" i="1" s="1"/>
  <c r="J73" i="1"/>
  <c r="K73" i="1" s="1"/>
  <c r="J74" i="1"/>
  <c r="K74" i="1" s="1"/>
  <c r="J75" i="1"/>
  <c r="K75" i="1" s="1"/>
  <c r="J76" i="1"/>
  <c r="K76" i="1" s="1"/>
  <c r="J77" i="1"/>
  <c r="K77" i="1" s="1"/>
  <c r="J78" i="1"/>
  <c r="K78" i="1" s="1"/>
  <c r="J79" i="1"/>
  <c r="K79" i="1" s="1"/>
  <c r="J80" i="1"/>
  <c r="K80" i="1" s="1"/>
  <c r="J81" i="1"/>
  <c r="K81" i="1" s="1"/>
  <c r="J82" i="1"/>
  <c r="K82" i="1" s="1"/>
  <c r="J83" i="1"/>
  <c r="K83" i="1" s="1"/>
  <c r="J84" i="1"/>
  <c r="K84" i="1" s="1"/>
  <c r="J85" i="1"/>
  <c r="K85" i="1" s="1"/>
  <c r="J86" i="1"/>
  <c r="K86" i="1" s="1"/>
  <c r="J87" i="1"/>
  <c r="K87" i="1" s="1"/>
  <c r="J88" i="1"/>
  <c r="K88" i="1" s="1"/>
  <c r="J89" i="1"/>
  <c r="K89" i="1" s="1"/>
  <c r="J90" i="1"/>
  <c r="K90" i="1" s="1"/>
  <c r="J91" i="1"/>
  <c r="K91" i="1" s="1"/>
  <c r="J92" i="1"/>
  <c r="K92" i="1" s="1"/>
  <c r="J93" i="1"/>
  <c r="K93" i="1" s="1"/>
  <c r="J94" i="1"/>
  <c r="K94" i="1" s="1"/>
  <c r="J95" i="1"/>
  <c r="K95" i="1" s="1"/>
  <c r="J96" i="1"/>
  <c r="K96" i="1" s="1"/>
  <c r="J97" i="1"/>
  <c r="K97" i="1" s="1"/>
  <c r="J98" i="1"/>
  <c r="K98" i="1" s="1"/>
  <c r="J99" i="1"/>
  <c r="K99" i="1" s="1"/>
  <c r="J100" i="1"/>
  <c r="K100" i="1" s="1"/>
  <c r="J101" i="1"/>
  <c r="K101" i="1" s="1"/>
  <c r="J102" i="1"/>
  <c r="K102" i="1" s="1"/>
  <c r="J103" i="1"/>
  <c r="K103" i="1" s="1"/>
  <c r="J104" i="1"/>
  <c r="K104" i="1" s="1"/>
  <c r="J105" i="1"/>
  <c r="K105" i="1" s="1"/>
  <c r="J106" i="1"/>
  <c r="K106" i="1" s="1"/>
  <c r="J107" i="1"/>
  <c r="K107" i="1" s="1"/>
  <c r="J108" i="1"/>
  <c r="K108" i="1" s="1"/>
  <c r="J109" i="1"/>
  <c r="K109" i="1" s="1"/>
  <c r="J110" i="1"/>
  <c r="K110" i="1" s="1"/>
  <c r="J111" i="1"/>
  <c r="K111" i="1" s="1"/>
  <c r="J112" i="1"/>
  <c r="K112" i="1" s="1"/>
  <c r="J113" i="1"/>
  <c r="K113" i="1" s="1"/>
  <c r="J114" i="1"/>
  <c r="K114" i="1" s="1"/>
  <c r="J115" i="1"/>
  <c r="K115" i="1" s="1"/>
  <c r="J116" i="1"/>
  <c r="K116" i="1" s="1"/>
  <c r="J117" i="1"/>
  <c r="K117" i="1" s="1"/>
  <c r="J118" i="1"/>
  <c r="K118" i="1" s="1"/>
  <c r="J119" i="1"/>
  <c r="K119" i="1" s="1"/>
  <c r="J120" i="1"/>
  <c r="K120" i="1" s="1"/>
  <c r="J121" i="1"/>
  <c r="K121" i="1" s="1"/>
  <c r="J122" i="1"/>
  <c r="K122" i="1" s="1"/>
  <c r="J123" i="1"/>
  <c r="K123" i="1" s="1"/>
  <c r="J124" i="1"/>
  <c r="K124" i="1" s="1"/>
  <c r="J125" i="1"/>
  <c r="K125" i="1" s="1"/>
  <c r="J126" i="1"/>
  <c r="K126" i="1" s="1"/>
  <c r="J127" i="1"/>
  <c r="K127" i="1" s="1"/>
  <c r="J128" i="1"/>
  <c r="K128" i="1" s="1"/>
  <c r="J129" i="1"/>
  <c r="K129" i="1" s="1"/>
  <c r="J130" i="1"/>
  <c r="K130" i="1" s="1"/>
  <c r="J131" i="1"/>
  <c r="K131" i="1" s="1"/>
  <c r="J132" i="1"/>
  <c r="K132" i="1" s="1"/>
  <c r="J133" i="1"/>
  <c r="K133" i="1" s="1"/>
  <c r="J134" i="1"/>
  <c r="K134" i="1" s="1"/>
  <c r="J135" i="1"/>
  <c r="K135" i="1" s="1"/>
  <c r="J136" i="1"/>
  <c r="K136" i="1" s="1"/>
  <c r="J137" i="1"/>
  <c r="K137" i="1" s="1"/>
  <c r="J138" i="1"/>
  <c r="K138" i="1" s="1"/>
  <c r="J139" i="1"/>
  <c r="K139" i="1" s="1"/>
  <c r="J140" i="1"/>
  <c r="K140" i="1" s="1"/>
  <c r="J141" i="1"/>
  <c r="K141" i="1" s="1"/>
  <c r="J142" i="1"/>
  <c r="K142" i="1" s="1"/>
  <c r="J143" i="1"/>
  <c r="K143" i="1" s="1"/>
  <c r="J144" i="1"/>
  <c r="K144" i="1" s="1"/>
  <c r="J145" i="1"/>
  <c r="K145" i="1" s="1"/>
  <c r="J146" i="1"/>
  <c r="K146" i="1" s="1"/>
  <c r="J147" i="1"/>
  <c r="K147" i="1" s="1"/>
  <c r="J148" i="1"/>
  <c r="K148" i="1" s="1"/>
  <c r="J149" i="1"/>
  <c r="K149" i="1" s="1"/>
  <c r="J150" i="1"/>
  <c r="K150" i="1" s="1"/>
  <c r="J151" i="1"/>
  <c r="K151" i="1" s="1"/>
  <c r="J152" i="1"/>
  <c r="K152" i="1" s="1"/>
  <c r="J153" i="1"/>
  <c r="K153" i="1" s="1"/>
  <c r="J154" i="1"/>
  <c r="K154" i="1" s="1"/>
  <c r="J155" i="1"/>
  <c r="K155" i="1" s="1"/>
  <c r="J156" i="1"/>
  <c r="K156" i="1" s="1"/>
  <c r="J157" i="1"/>
  <c r="K157" i="1" s="1"/>
  <c r="J158" i="1"/>
  <c r="K158" i="1" s="1"/>
  <c r="J159" i="1"/>
  <c r="K159" i="1" s="1"/>
  <c r="J160" i="1"/>
  <c r="K160" i="1" s="1"/>
  <c r="J161" i="1"/>
  <c r="K161" i="1" s="1"/>
  <c r="J162" i="1"/>
  <c r="K162" i="1" s="1"/>
  <c r="J163" i="1"/>
  <c r="K163" i="1" s="1"/>
  <c r="J164" i="1"/>
  <c r="K164" i="1" s="1"/>
  <c r="J165" i="1"/>
  <c r="K165" i="1" s="1"/>
  <c r="J166" i="1"/>
  <c r="K166" i="1" s="1"/>
  <c r="J167" i="1"/>
  <c r="K167" i="1" s="1"/>
  <c r="J168" i="1"/>
  <c r="K168" i="1" s="1"/>
  <c r="J169" i="1"/>
  <c r="K169" i="1" s="1"/>
  <c r="J170" i="1"/>
  <c r="K170" i="1" s="1"/>
  <c r="J171" i="1"/>
  <c r="K171" i="1" s="1"/>
  <c r="J172" i="1"/>
  <c r="K172" i="1" s="1"/>
  <c r="J173" i="1"/>
  <c r="K173" i="1" s="1"/>
  <c r="J174" i="1"/>
  <c r="K174" i="1" s="1"/>
  <c r="J175" i="1"/>
  <c r="K175" i="1" s="1"/>
  <c r="J176" i="1"/>
  <c r="K176" i="1" s="1"/>
  <c r="J177" i="1"/>
  <c r="K177" i="1" s="1"/>
  <c r="J178" i="1"/>
  <c r="K178" i="1" s="1"/>
  <c r="J179" i="1"/>
  <c r="K179" i="1" s="1"/>
  <c r="J180" i="1"/>
  <c r="K180" i="1" s="1"/>
  <c r="J181" i="1"/>
  <c r="K181" i="1" s="1"/>
  <c r="J182" i="1"/>
  <c r="K182" i="1" s="1"/>
  <c r="J183" i="1"/>
  <c r="K183" i="1" s="1"/>
  <c r="J184" i="1"/>
  <c r="K184" i="1" s="1"/>
  <c r="J185" i="1"/>
  <c r="K185" i="1" s="1"/>
  <c r="J186" i="1"/>
  <c r="K186" i="1" s="1"/>
  <c r="J187" i="1"/>
  <c r="K187" i="1" s="1"/>
  <c r="J188" i="1"/>
  <c r="K188" i="1" s="1"/>
  <c r="J189" i="1"/>
  <c r="K189" i="1" s="1"/>
  <c r="J190" i="1"/>
  <c r="K190" i="1" s="1"/>
  <c r="J191" i="1"/>
  <c r="K191" i="1" s="1"/>
  <c r="J192" i="1"/>
  <c r="K192" i="1" s="1"/>
  <c r="J193" i="1"/>
  <c r="K193" i="1" s="1"/>
  <c r="J194" i="1"/>
  <c r="K194" i="1" s="1"/>
  <c r="J195" i="1"/>
  <c r="K195" i="1" s="1"/>
  <c r="J196" i="1"/>
  <c r="K196" i="1" s="1"/>
  <c r="J197" i="1"/>
  <c r="K197" i="1" s="1"/>
  <c r="J198" i="1"/>
  <c r="K198" i="1" s="1"/>
  <c r="J199" i="1"/>
  <c r="K199" i="1" s="1"/>
  <c r="J200" i="1"/>
  <c r="K200" i="1" s="1"/>
  <c r="J201" i="1"/>
  <c r="K201" i="1" s="1"/>
  <c r="J202" i="1"/>
  <c r="K202" i="1" s="1"/>
  <c r="J203" i="1"/>
  <c r="K203" i="1" s="1"/>
  <c r="J204" i="1"/>
  <c r="K204" i="1" s="1"/>
  <c r="J205" i="1"/>
  <c r="K205" i="1" s="1"/>
  <c r="J206" i="1"/>
  <c r="K206" i="1" s="1"/>
  <c r="J207" i="1"/>
  <c r="K207" i="1" s="1"/>
  <c r="J208" i="1"/>
  <c r="K208" i="1" s="1"/>
  <c r="J209" i="1"/>
  <c r="K209" i="1" s="1"/>
  <c r="J210" i="1"/>
  <c r="K210" i="1" s="1"/>
  <c r="J211" i="1"/>
  <c r="K211" i="1" s="1"/>
  <c r="J212" i="1"/>
  <c r="K212" i="1" s="1"/>
  <c r="J213" i="1"/>
  <c r="K213" i="1" s="1"/>
  <c r="J214" i="1"/>
  <c r="K214" i="1" s="1"/>
  <c r="J215" i="1"/>
  <c r="K215" i="1" s="1"/>
  <c r="J216" i="1"/>
  <c r="K216" i="1" s="1"/>
  <c r="J217" i="1"/>
  <c r="K217" i="1" s="1"/>
  <c r="J218" i="1"/>
  <c r="K218" i="1" s="1"/>
  <c r="J219" i="1"/>
  <c r="K219" i="1" s="1"/>
  <c r="J220" i="1"/>
  <c r="K220" i="1" s="1"/>
  <c r="J221" i="1"/>
  <c r="K221" i="1" s="1"/>
  <c r="J222" i="1"/>
  <c r="K222" i="1" s="1"/>
  <c r="J223" i="1"/>
  <c r="K223" i="1" s="1"/>
  <c r="J224" i="1"/>
  <c r="K224" i="1" s="1"/>
  <c r="J225" i="1"/>
  <c r="K225" i="1" s="1"/>
  <c r="J226" i="1"/>
  <c r="K226" i="1" s="1"/>
  <c r="J227" i="1"/>
  <c r="K227" i="1" s="1"/>
  <c r="J228" i="1"/>
  <c r="K228" i="1" s="1"/>
  <c r="J229" i="1"/>
  <c r="K229" i="1" s="1"/>
  <c r="J230" i="1"/>
  <c r="K230" i="1" s="1"/>
  <c r="J231" i="1"/>
  <c r="K231" i="1" s="1"/>
  <c r="J232" i="1"/>
  <c r="K232" i="1" s="1"/>
  <c r="J233" i="1"/>
  <c r="K233" i="1" s="1"/>
  <c r="J234" i="1"/>
  <c r="K234" i="1" s="1"/>
  <c r="J235" i="1"/>
  <c r="K235" i="1" s="1"/>
  <c r="J236" i="1"/>
  <c r="K236" i="1" s="1"/>
  <c r="J237" i="1"/>
  <c r="K237" i="1" s="1"/>
  <c r="J238" i="1"/>
  <c r="K238" i="1" s="1"/>
  <c r="J239" i="1"/>
  <c r="K239" i="1" s="1"/>
  <c r="J240" i="1"/>
  <c r="K240" i="1" s="1"/>
  <c r="J241" i="1"/>
  <c r="K241" i="1" s="1"/>
  <c r="J242" i="1"/>
  <c r="K242" i="1" s="1"/>
  <c r="J243" i="1"/>
  <c r="K243" i="1" s="1"/>
  <c r="J244" i="1"/>
  <c r="K244" i="1" s="1"/>
  <c r="J245" i="1"/>
  <c r="K245" i="1" s="1"/>
  <c r="J246" i="1"/>
  <c r="K246" i="1" s="1"/>
  <c r="J247" i="1"/>
  <c r="K247" i="1" s="1"/>
  <c r="J248" i="1"/>
  <c r="K248" i="1" s="1"/>
  <c r="J249" i="1"/>
  <c r="K249" i="1" s="1"/>
  <c r="J250" i="1"/>
  <c r="K250" i="1" s="1"/>
  <c r="J251" i="1"/>
  <c r="K251" i="1" s="1"/>
  <c r="J252" i="1"/>
  <c r="K252" i="1" s="1"/>
  <c r="J253" i="1"/>
  <c r="K253" i="1" s="1"/>
  <c r="J254" i="1"/>
  <c r="K254" i="1" s="1"/>
  <c r="J255" i="1"/>
  <c r="K255" i="1" s="1"/>
  <c r="J256" i="1"/>
  <c r="K256" i="1" s="1"/>
  <c r="J257" i="1"/>
  <c r="K257" i="1" s="1"/>
  <c r="J258" i="1"/>
  <c r="K258" i="1" s="1"/>
  <c r="J259" i="1"/>
  <c r="K259" i="1" s="1"/>
  <c r="J260" i="1"/>
  <c r="K260" i="1" s="1"/>
  <c r="J261" i="1"/>
  <c r="K261" i="1" s="1"/>
  <c r="J262" i="1"/>
  <c r="K262" i="1" s="1"/>
  <c r="J263" i="1"/>
  <c r="K263" i="1" s="1"/>
  <c r="J264" i="1"/>
  <c r="K264" i="1" s="1"/>
  <c r="J265" i="1"/>
  <c r="K265" i="1" s="1"/>
  <c r="J266" i="1"/>
  <c r="K266" i="1" s="1"/>
  <c r="J267" i="1"/>
  <c r="K267" i="1" s="1"/>
  <c r="J268" i="1"/>
  <c r="K268" i="1" s="1"/>
  <c r="J269" i="1"/>
  <c r="K269" i="1" s="1"/>
  <c r="J270" i="1"/>
  <c r="K270" i="1" s="1"/>
  <c r="J271" i="1"/>
  <c r="K271" i="1" s="1"/>
  <c r="J272" i="1"/>
  <c r="K272" i="1" s="1"/>
  <c r="J273" i="1"/>
  <c r="K273" i="1" s="1"/>
  <c r="J274" i="1"/>
  <c r="K274" i="1" s="1"/>
  <c r="J275" i="1"/>
  <c r="K275" i="1" s="1"/>
  <c r="J276" i="1"/>
  <c r="K276" i="1" s="1"/>
  <c r="J277" i="1"/>
  <c r="K277" i="1" s="1"/>
  <c r="J278" i="1"/>
  <c r="K278" i="1" s="1"/>
  <c r="J279" i="1"/>
  <c r="K279" i="1" s="1"/>
  <c r="J280" i="1"/>
  <c r="K280" i="1" s="1"/>
  <c r="J281" i="1"/>
  <c r="K281" i="1" s="1"/>
  <c r="J282" i="1"/>
  <c r="K282" i="1" s="1"/>
  <c r="J283" i="1"/>
  <c r="K283" i="1" s="1"/>
  <c r="J284" i="1"/>
  <c r="K284" i="1" s="1"/>
  <c r="J285" i="1"/>
  <c r="K285" i="1" s="1"/>
  <c r="J286" i="1"/>
  <c r="K286" i="1" s="1"/>
  <c r="J287" i="1"/>
  <c r="K287" i="1" s="1"/>
  <c r="J288" i="1"/>
  <c r="K288" i="1" s="1"/>
  <c r="J289" i="1"/>
  <c r="K289" i="1" s="1"/>
  <c r="J290" i="1"/>
  <c r="K290" i="1" s="1"/>
  <c r="J291" i="1"/>
  <c r="K291" i="1" s="1"/>
  <c r="J292" i="1"/>
  <c r="K292" i="1" s="1"/>
  <c r="J293" i="1"/>
  <c r="K293" i="1" s="1"/>
  <c r="J294" i="1"/>
  <c r="K294" i="1" s="1"/>
  <c r="J295" i="1"/>
  <c r="K295" i="1" s="1"/>
  <c r="J296" i="1"/>
  <c r="K296" i="1" s="1"/>
  <c r="J297" i="1"/>
  <c r="K297" i="1" s="1"/>
  <c r="J298" i="1"/>
  <c r="K298" i="1" s="1"/>
  <c r="J299" i="1"/>
  <c r="K299" i="1" s="1"/>
  <c r="J300" i="1"/>
  <c r="K300" i="1" s="1"/>
  <c r="J301" i="1"/>
  <c r="K301" i="1" s="1"/>
  <c r="J302" i="1"/>
  <c r="K302" i="1" s="1"/>
  <c r="J303" i="1"/>
  <c r="K303" i="1" s="1"/>
  <c r="J304" i="1"/>
  <c r="K304" i="1" s="1"/>
  <c r="J305" i="1"/>
  <c r="K305" i="1" s="1"/>
  <c r="J306" i="1"/>
  <c r="K306" i="1" s="1"/>
  <c r="J307" i="1"/>
  <c r="K307" i="1" s="1"/>
  <c r="J308" i="1"/>
  <c r="K308" i="1" s="1"/>
  <c r="J309" i="1"/>
  <c r="K309" i="1" s="1"/>
  <c r="J310" i="1"/>
  <c r="K310" i="1" s="1"/>
  <c r="J311" i="1"/>
  <c r="K311" i="1" s="1"/>
  <c r="J312" i="1"/>
  <c r="K312" i="1" s="1"/>
  <c r="J313" i="1"/>
  <c r="K313" i="1" s="1"/>
  <c r="J314" i="1"/>
  <c r="K314" i="1" s="1"/>
  <c r="J315" i="1"/>
  <c r="K315" i="1" s="1"/>
  <c r="J316" i="1"/>
  <c r="K316" i="1" s="1"/>
  <c r="J317" i="1"/>
  <c r="K317" i="1" s="1"/>
  <c r="J318" i="1"/>
  <c r="K318" i="1" s="1"/>
  <c r="J319" i="1"/>
  <c r="K319" i="1" s="1"/>
  <c r="J320" i="1"/>
  <c r="K320" i="1" s="1"/>
  <c r="J321" i="1"/>
  <c r="K321" i="1" s="1"/>
  <c r="J322" i="1"/>
  <c r="K322" i="1" s="1"/>
  <c r="J323" i="1"/>
  <c r="K323" i="1" s="1"/>
  <c r="J324" i="1"/>
  <c r="K324" i="1" s="1"/>
  <c r="J325" i="1"/>
  <c r="K325" i="1" s="1"/>
  <c r="J326" i="1"/>
  <c r="K326" i="1" s="1"/>
  <c r="J327" i="1"/>
  <c r="K327" i="1" s="1"/>
  <c r="J328" i="1"/>
  <c r="K328" i="1" s="1"/>
  <c r="J329" i="1"/>
  <c r="K329" i="1" s="1"/>
  <c r="J330" i="1"/>
  <c r="K330" i="1" s="1"/>
  <c r="J331" i="1"/>
  <c r="K331" i="1" s="1"/>
  <c r="J332" i="1"/>
  <c r="K332" i="1" s="1"/>
  <c r="J333" i="1"/>
  <c r="K333" i="1" s="1"/>
  <c r="J334" i="1"/>
  <c r="K334" i="1" s="1"/>
  <c r="J335" i="1"/>
  <c r="K335" i="1" s="1"/>
  <c r="J336" i="1"/>
  <c r="K336" i="1" s="1"/>
  <c r="J337" i="1"/>
  <c r="K337" i="1" s="1"/>
  <c r="J338" i="1"/>
  <c r="K338" i="1" s="1"/>
  <c r="J339" i="1"/>
  <c r="K339" i="1" s="1"/>
  <c r="J340" i="1"/>
  <c r="K340" i="1" s="1"/>
  <c r="J341" i="1"/>
  <c r="K341" i="1" s="1"/>
  <c r="J342" i="1"/>
  <c r="K342" i="1" s="1"/>
  <c r="J343" i="1"/>
  <c r="K343" i="1" s="1"/>
  <c r="J344" i="1"/>
  <c r="K344" i="1" s="1"/>
  <c r="J345" i="1"/>
  <c r="K345" i="1" s="1"/>
  <c r="J346" i="1"/>
  <c r="K346" i="1" s="1"/>
  <c r="J347" i="1"/>
  <c r="K347" i="1" s="1"/>
  <c r="J348" i="1"/>
  <c r="K348" i="1" s="1"/>
  <c r="J349" i="1"/>
  <c r="K349" i="1" s="1"/>
  <c r="J350" i="1"/>
  <c r="K350" i="1" s="1"/>
  <c r="J351" i="1"/>
  <c r="K351" i="1" s="1"/>
  <c r="J352" i="1"/>
  <c r="K352" i="1" s="1"/>
  <c r="J353" i="1"/>
  <c r="K353" i="1" s="1"/>
  <c r="J354" i="1"/>
  <c r="K354" i="1" s="1"/>
  <c r="J355" i="1"/>
  <c r="K355" i="1" s="1"/>
  <c r="J356" i="1"/>
  <c r="K356" i="1" s="1"/>
  <c r="J357" i="1"/>
  <c r="K357" i="1" s="1"/>
  <c r="J358" i="1"/>
  <c r="K358" i="1" s="1"/>
  <c r="J359" i="1"/>
  <c r="K359" i="1" s="1"/>
  <c r="J360" i="1"/>
  <c r="K360" i="1" s="1"/>
  <c r="J361" i="1"/>
  <c r="K361" i="1" s="1"/>
  <c r="J362" i="1"/>
  <c r="K362" i="1" s="1"/>
  <c r="J363" i="1"/>
  <c r="K363" i="1" s="1"/>
  <c r="J364" i="1"/>
  <c r="K364" i="1" s="1"/>
  <c r="J365" i="1"/>
  <c r="K365" i="1" s="1"/>
  <c r="J366" i="1"/>
  <c r="K366" i="1" s="1"/>
  <c r="J367" i="1"/>
  <c r="K367" i="1" s="1"/>
  <c r="J368" i="1"/>
  <c r="K368" i="1" s="1"/>
  <c r="J369" i="1"/>
  <c r="K369" i="1" s="1"/>
  <c r="J370" i="1"/>
  <c r="K370" i="1" s="1"/>
  <c r="J371" i="1"/>
  <c r="K371" i="1" s="1"/>
  <c r="J372" i="1"/>
  <c r="K372" i="1" s="1"/>
  <c r="J373" i="1"/>
  <c r="K373" i="1" s="1"/>
  <c r="J374" i="1"/>
  <c r="K374" i="1" s="1"/>
  <c r="J375" i="1"/>
  <c r="K375" i="1" s="1"/>
  <c r="J376" i="1"/>
  <c r="K376" i="1" s="1"/>
  <c r="J377" i="1"/>
  <c r="K377" i="1" s="1"/>
  <c r="J378" i="1"/>
  <c r="K378" i="1" s="1"/>
  <c r="J379" i="1"/>
  <c r="K379" i="1" s="1"/>
  <c r="J380" i="1"/>
  <c r="K380" i="1" s="1"/>
  <c r="J381" i="1"/>
  <c r="K381" i="1" s="1"/>
  <c r="J382" i="1"/>
  <c r="K382" i="1" s="1"/>
  <c r="J383" i="1"/>
  <c r="K383" i="1" s="1"/>
  <c r="J384" i="1"/>
  <c r="K384" i="1" s="1"/>
  <c r="J385" i="1"/>
  <c r="K385" i="1" s="1"/>
  <c r="J386" i="1"/>
  <c r="K386" i="1" s="1"/>
  <c r="J387" i="1"/>
  <c r="K387" i="1" s="1"/>
  <c r="J388" i="1"/>
  <c r="K388" i="1" s="1"/>
  <c r="J389" i="1"/>
  <c r="K389" i="1" s="1"/>
  <c r="J390" i="1"/>
  <c r="K390" i="1" s="1"/>
  <c r="J391" i="1"/>
  <c r="K391" i="1" s="1"/>
  <c r="J392" i="1"/>
  <c r="K392" i="1" s="1"/>
  <c r="J393" i="1"/>
  <c r="K393" i="1" s="1"/>
  <c r="J394" i="1"/>
  <c r="K394" i="1" s="1"/>
  <c r="J395" i="1"/>
  <c r="K395" i="1" s="1"/>
  <c r="J396" i="1"/>
  <c r="K396" i="1" s="1"/>
  <c r="J397" i="1"/>
  <c r="K397" i="1" s="1"/>
  <c r="J398" i="1"/>
  <c r="K398" i="1" s="1"/>
  <c r="J399" i="1"/>
  <c r="K399" i="1" s="1"/>
  <c r="J400" i="1"/>
  <c r="K400" i="1" s="1"/>
  <c r="J401" i="1"/>
  <c r="K401" i="1" s="1"/>
  <c r="J402" i="1"/>
  <c r="K402" i="1" s="1"/>
  <c r="J403" i="1"/>
  <c r="K403" i="1" s="1"/>
  <c r="J404" i="1"/>
  <c r="K404" i="1" s="1"/>
  <c r="J405" i="1"/>
  <c r="K405" i="1" s="1"/>
  <c r="J406" i="1"/>
  <c r="K406" i="1" s="1"/>
  <c r="J407" i="1"/>
  <c r="K407" i="1" s="1"/>
  <c r="J408" i="1"/>
  <c r="K408" i="1" s="1"/>
  <c r="J409" i="1"/>
  <c r="K409" i="1" s="1"/>
  <c r="J410" i="1"/>
  <c r="K410" i="1" s="1"/>
  <c r="J411" i="1"/>
  <c r="K411" i="1" s="1"/>
  <c r="J412" i="1"/>
  <c r="K412" i="1" s="1"/>
  <c r="J413" i="1"/>
  <c r="K413" i="1" s="1"/>
  <c r="J414" i="1"/>
  <c r="K414" i="1" s="1"/>
  <c r="J415" i="1"/>
  <c r="K415" i="1" s="1"/>
  <c r="J416" i="1"/>
  <c r="K416" i="1" s="1"/>
  <c r="J417" i="1"/>
  <c r="K417" i="1" s="1"/>
  <c r="J418" i="1"/>
  <c r="K418" i="1" s="1"/>
  <c r="J419" i="1"/>
  <c r="K419" i="1" s="1"/>
  <c r="J420" i="1"/>
  <c r="K420" i="1" s="1"/>
  <c r="J421" i="1"/>
  <c r="K421" i="1" s="1"/>
  <c r="J422" i="1"/>
  <c r="K422" i="1" s="1"/>
  <c r="J423" i="1"/>
  <c r="K423" i="1" s="1"/>
  <c r="J424" i="1"/>
  <c r="K424" i="1" s="1"/>
  <c r="J425" i="1"/>
  <c r="K425" i="1" s="1"/>
  <c r="J426" i="1"/>
  <c r="K426" i="1" s="1"/>
  <c r="J427" i="1"/>
  <c r="K427" i="1" s="1"/>
  <c r="J428" i="1"/>
  <c r="K428" i="1" s="1"/>
  <c r="J429" i="1"/>
  <c r="K429" i="1" s="1"/>
  <c r="J430" i="1"/>
  <c r="K430" i="1" s="1"/>
  <c r="J431" i="1"/>
  <c r="K431" i="1" s="1"/>
  <c r="J432" i="1"/>
  <c r="K432" i="1" s="1"/>
  <c r="J433" i="1"/>
  <c r="K433" i="1" s="1"/>
  <c r="J434" i="1"/>
  <c r="K434" i="1" s="1"/>
  <c r="J435" i="1"/>
  <c r="K435" i="1" s="1"/>
  <c r="J436" i="1"/>
  <c r="K436" i="1" s="1"/>
  <c r="J437" i="1"/>
  <c r="K437" i="1" s="1"/>
  <c r="J438" i="1"/>
  <c r="K438" i="1" s="1"/>
  <c r="J439" i="1"/>
  <c r="K439" i="1" s="1"/>
  <c r="J440" i="1"/>
  <c r="K440" i="1" s="1"/>
  <c r="J441" i="1"/>
  <c r="K441" i="1" s="1"/>
  <c r="J442" i="1"/>
  <c r="K442" i="1" s="1"/>
  <c r="J443" i="1"/>
  <c r="K443" i="1" s="1"/>
  <c r="J444" i="1"/>
  <c r="K444" i="1" s="1"/>
  <c r="J445" i="1"/>
  <c r="K445" i="1" s="1"/>
  <c r="J446" i="1"/>
  <c r="K446" i="1" s="1"/>
  <c r="J447" i="1"/>
  <c r="K447" i="1" s="1"/>
  <c r="J448" i="1"/>
  <c r="K448" i="1" s="1"/>
  <c r="J449" i="1"/>
  <c r="K449" i="1" s="1"/>
  <c r="J450" i="1"/>
  <c r="K450" i="1" s="1"/>
  <c r="J451" i="1"/>
  <c r="K451" i="1" s="1"/>
  <c r="J452" i="1"/>
  <c r="K452" i="1" s="1"/>
  <c r="J453" i="1"/>
  <c r="K453" i="1" s="1"/>
  <c r="J454" i="1"/>
  <c r="K454" i="1" s="1"/>
  <c r="J455" i="1"/>
  <c r="K455" i="1" s="1"/>
  <c r="J456" i="1"/>
  <c r="K456" i="1" s="1"/>
  <c r="J457" i="1"/>
  <c r="K457" i="1" s="1"/>
  <c r="J458" i="1"/>
  <c r="K458" i="1" s="1"/>
  <c r="J459" i="1"/>
  <c r="K459" i="1" s="1"/>
  <c r="J460" i="1"/>
  <c r="K460" i="1" s="1"/>
  <c r="J461" i="1"/>
  <c r="K461" i="1" s="1"/>
  <c r="J462" i="1"/>
  <c r="K462" i="1" s="1"/>
  <c r="J463" i="1"/>
  <c r="K463" i="1" s="1"/>
  <c r="J464" i="1"/>
  <c r="K464" i="1" s="1"/>
  <c r="J465" i="1"/>
  <c r="K465" i="1" s="1"/>
  <c r="J466" i="1"/>
  <c r="K466" i="1" s="1"/>
  <c r="J467" i="1"/>
  <c r="K467" i="1" s="1"/>
  <c r="J468" i="1"/>
  <c r="K468" i="1" s="1"/>
  <c r="J469" i="1"/>
  <c r="K469" i="1" s="1"/>
  <c r="J470" i="1"/>
  <c r="K470" i="1" s="1"/>
  <c r="J471" i="1"/>
  <c r="K471" i="1" s="1"/>
  <c r="J472" i="1"/>
  <c r="K472" i="1" s="1"/>
  <c r="J473" i="1"/>
  <c r="K473" i="1" s="1"/>
  <c r="J474" i="1"/>
  <c r="K474" i="1" s="1"/>
  <c r="J475" i="1"/>
  <c r="K475" i="1" s="1"/>
  <c r="J476" i="1"/>
  <c r="K476" i="1" s="1"/>
  <c r="J477" i="1"/>
  <c r="K477" i="1" s="1"/>
  <c r="J478" i="1"/>
  <c r="K478" i="1" s="1"/>
  <c r="J479" i="1"/>
  <c r="K479" i="1" s="1"/>
  <c r="J480" i="1"/>
  <c r="K480" i="1" s="1"/>
  <c r="J481" i="1"/>
  <c r="K481" i="1" s="1"/>
  <c r="J482" i="1"/>
  <c r="K482" i="1" s="1"/>
  <c r="J483" i="1"/>
  <c r="K483" i="1" s="1"/>
  <c r="J484" i="1"/>
  <c r="K484" i="1" s="1"/>
  <c r="J485" i="1"/>
  <c r="K485" i="1" s="1"/>
  <c r="J486" i="1"/>
  <c r="K486" i="1" s="1"/>
  <c r="J487" i="1"/>
  <c r="K487" i="1" s="1"/>
  <c r="J488" i="1"/>
  <c r="K488" i="1" s="1"/>
  <c r="J489" i="1"/>
  <c r="K489" i="1" s="1"/>
  <c r="J490" i="1"/>
  <c r="K490" i="1" s="1"/>
  <c r="J491" i="1"/>
  <c r="K491" i="1" s="1"/>
  <c r="J492" i="1"/>
  <c r="K492" i="1" s="1"/>
  <c r="J493" i="1"/>
  <c r="K493" i="1" s="1"/>
  <c r="J494" i="1"/>
  <c r="K494" i="1" s="1"/>
  <c r="J495" i="1"/>
  <c r="K495" i="1" s="1"/>
  <c r="J496" i="1"/>
  <c r="K496" i="1" s="1"/>
  <c r="J497" i="1"/>
  <c r="K497" i="1" s="1"/>
  <c r="J498" i="1"/>
  <c r="K498" i="1" s="1"/>
  <c r="J499" i="1"/>
  <c r="K499" i="1" s="1"/>
  <c r="J500" i="1"/>
  <c r="K500" i="1" s="1"/>
  <c r="J501" i="1"/>
  <c r="K501" i="1" s="1"/>
  <c r="K30" i="1" l="1"/>
  <c r="A9" i="8"/>
  <c r="E9" i="8" l="1"/>
  <c r="M9" i="8"/>
</calcChain>
</file>

<file path=xl/sharedStrings.xml><?xml version="1.0" encoding="utf-8"?>
<sst xmlns="http://schemas.openxmlformats.org/spreadsheetml/2006/main" count="2559" uniqueCount="561">
  <si>
    <t>Order ID</t>
  </si>
  <si>
    <t>Date</t>
  </si>
  <si>
    <t>Store</t>
  </si>
  <si>
    <t>Region</t>
  </si>
  <si>
    <t>Category</t>
  </si>
  <si>
    <t>Product</t>
  </si>
  <si>
    <t>Units Sold</t>
  </si>
  <si>
    <t>Unit Price</t>
  </si>
  <si>
    <t>Cost Price</t>
  </si>
  <si>
    <t>ORD1000</t>
  </si>
  <si>
    <t>ORD1001</t>
  </si>
  <si>
    <t>ORD1002</t>
  </si>
  <si>
    <t>ORD1003</t>
  </si>
  <si>
    <t>ORD1004</t>
  </si>
  <si>
    <t>ORD1005</t>
  </si>
  <si>
    <t>ORD1006</t>
  </si>
  <si>
    <t>ORD1007</t>
  </si>
  <si>
    <t>ORD1008</t>
  </si>
  <si>
    <t>ORD1009</t>
  </si>
  <si>
    <t>ORD1010</t>
  </si>
  <si>
    <t>ORD1011</t>
  </si>
  <si>
    <t>ORD1012</t>
  </si>
  <si>
    <t>ORD1013</t>
  </si>
  <si>
    <t>ORD1014</t>
  </si>
  <si>
    <t>ORD1015</t>
  </si>
  <si>
    <t>ORD1016</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</si>
  <si>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</si>
  <si>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</si>
  <si>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</si>
  <si>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</si>
  <si>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</si>
  <si>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</si>
  <si>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</si>
  <si>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</si>
  <si>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</si>
  <si>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</si>
  <si>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</si>
  <si>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</si>
  <si>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</si>
  <si>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</si>
  <si>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</si>
  <si>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</si>
  <si>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</si>
  <si>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</si>
  <si>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</si>
  <si>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</si>
  <si>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</si>
  <si>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</si>
  <si>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</si>
  <si>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</si>
  <si>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</si>
  <si>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</si>
  <si>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</si>
  <si>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</si>
  <si>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</si>
  <si>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</si>
  <si>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</si>
  <si>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</si>
  <si>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</si>
  <si>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</si>
  <si>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</si>
  <si>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</si>
  <si>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</si>
  <si>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</si>
  <si>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</si>
  <si>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</si>
  <si>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</si>
  <si>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</si>
  <si>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</si>
  <si>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</si>
  <si>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</si>
  <si>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</si>
  <si>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</si>
  <si>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</si>
  <si>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</si>
  <si>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</si>
  <si>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</si>
  <si>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</si>
  <si>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</si>
  <si>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</si>
  <si>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</si>
  <si>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</si>
  <si>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</si>
  <si>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</si>
  <si>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</si>
  <si>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</si>
  <si>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</si>
  <si>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</si>
  <si>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</si>
  <si>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</si>
  <si>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</si>
  <si>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</si>
  <si>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</si>
  <si>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</si>
  <si>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</si>
  <si>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</si>
  <si>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</si>
  <si>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</si>
  <si>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</si>
  <si>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</si>
  <si>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</si>
  <si>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</si>
  <si>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</si>
  <si>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</si>
  <si>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</si>
  <si>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</si>
  <si>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</si>
  <si>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</si>
  <si>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</si>
  <si>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</si>
  <si>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</si>
  <si>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</si>
  <si>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</si>
  <si>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</si>
  <si>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</si>
  <si>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</si>
  <si>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</si>
  <si>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</si>
  <si>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</si>
  <si>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</si>
  <si>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</si>
  <si>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</si>
  <si>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</si>
  <si>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</si>
  <si>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</si>
  <si>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</si>
  <si>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</si>
  <si>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</si>
  <si>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</si>
  <si>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</si>
  <si>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</si>
  <si>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</si>
  <si>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</si>
  <si>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</si>
  <si>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</si>
  <si>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</si>
  <si>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</si>
  <si>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</si>
  <si>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</si>
  <si>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</si>
  <si>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</si>
  <si>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</si>
  <si>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</si>
  <si>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</si>
  <si>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</si>
  <si>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</si>
  <si>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</si>
  <si>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</si>
  <si>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</si>
  <si>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</si>
  <si>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</si>
  <si>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</si>
  <si>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</si>
  <si>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</si>
  <si>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</si>
  <si>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</si>
  <si>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</si>
  <si>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</si>
  <si>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</si>
  <si>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</si>
  <si>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</si>
  <si>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</si>
  <si>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</si>
  <si>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</si>
  <si>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</si>
  <si>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</si>
  <si>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</si>
  <si>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</si>
  <si>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</si>
  <si>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</si>
  <si>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</si>
  <si>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</si>
  <si>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</si>
  <si>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</si>
  <si>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</si>
  <si>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</si>
  <si>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</si>
  <si>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</si>
  <si>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</si>
  <si>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</si>
  <si>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</si>
  <si>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</si>
  <si>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</si>
  <si>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</si>
  <si>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</si>
  <si>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</si>
  <si>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</si>
  <si>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</si>
  <si>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</si>
  <si>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</si>
  <si>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</si>
  <si>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</si>
  <si>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</si>
  <si>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</si>
  <si>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</si>
  <si>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</si>
  <si>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</si>
  <si>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</si>
  <si>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</si>
  <si>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</si>
  <si>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</si>
  <si>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</si>
  <si>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</si>
  <si>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</si>
  <si>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</si>
  <si>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</si>
  <si>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</si>
  <si>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</si>
  <si>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</si>
  <si>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</si>
  <si>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</si>
  <si>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</si>
  <si>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</si>
  <si>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</si>
  <si>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</si>
  <si>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</si>
  <si>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</si>
  <si>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</si>
  <si>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</si>
  <si>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</si>
  <si>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</si>
  <si>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</si>
  <si>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</si>
  <si>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</si>
  <si>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</si>
  <si>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</si>
  <si>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</si>
  <si>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</si>
  <si>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</si>
  <si>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</si>
  <si>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</si>
  <si>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</si>
  <si>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</si>
  <si>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</si>
  <si>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</si>
  <si>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</si>
  <si>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</si>
  <si>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</si>
  <si>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</si>
  <si>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</si>
  <si>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</si>
  <si>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</si>
  <si>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</si>
  <si>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</si>
  <si>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</si>
  <si>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</si>
  <si>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</si>
  <si>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</si>
  <si>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</si>
  <si>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</si>
  <si>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</si>
  <si>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</si>
  <si>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</si>
  <si>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</si>
  <si>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</si>
  <si>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</si>
  <si>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</si>
  <si>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</si>
  <si>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</si>
  <si>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</si>
  <si>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</si>
  <si>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</si>
  <si>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</si>
  <si>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</si>
  <si>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</si>
  <si>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</si>
  <si>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</si>
  <si>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</si>
  <si>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</si>
  <si>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</si>
  <si>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</si>
  <si>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</si>
  <si>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</si>
  <si>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</si>
  <si>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</si>
  <si>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</si>
  <si>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</si>
  <si>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</si>
  <si>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</si>
  <si>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</si>
  <si>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</si>
  <si>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</si>
  <si>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</si>
  <si>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</si>
  <si>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</si>
  <si>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</si>
  <si>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</si>
  <si>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</si>
  <si>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</si>
  <si>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</si>
  <si>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</si>
  <si>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</si>
  <si>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</si>
  <si>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</si>
  <si>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</si>
  <si>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</si>
  <si>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</si>
  <si>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</si>
  <si>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</si>
  <si>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</si>
  <si>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</si>
  <si>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</si>
  <si>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</si>
  <si>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</si>
  <si>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</si>
  <si>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</si>
  <si>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</si>
  <si>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</si>
  <si>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</si>
  <si>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</si>
  <si>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</si>
  <si>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</si>
  <si>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</si>
  <si>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</si>
  <si>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</si>
  <si>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</si>
  <si>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</si>
  <si>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</si>
  <si>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</si>
  <si>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</si>
  <si>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</si>
  <si>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</si>
  <si>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</si>
  <si>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</si>
  <si>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</si>
  <si>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</si>
  <si>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</si>
  <si>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</si>
  <si>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</si>
  <si>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</si>
  <si>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</si>
  <si>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</si>
  <si>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</si>
  <si>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</si>
  <si>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</si>
  <si>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</si>
  <si>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</si>
  <si>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</si>
  <si>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</si>
  <si>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</si>
  <si>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</si>
  <si>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</si>
  <si>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</si>
  <si>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</si>
  <si>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</si>
  <si>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</si>
  <si>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</si>
  <si>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</si>
  <si>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</si>
  <si>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</si>
  <si>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</si>
  <si>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</si>
  <si>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</si>
  <si>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</si>
  <si>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</si>
  <si>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</si>
  <si>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</si>
  <si>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</si>
  <si>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</si>
  <si>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</si>
  <si>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</si>
  <si>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</si>
  <si>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</si>
  <si>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</si>
  <si>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</si>
  <si>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</si>
  <si>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</si>
  <si>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</si>
  <si>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</si>
  <si>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</si>
  <si>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</si>
  <si>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</si>
  <si>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</si>
  <si>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</si>
  <si>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</si>
  <si>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</si>
  <si>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</si>
  <si>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</si>
  <si>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</si>
  <si>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</si>
  <si>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</si>
  <si>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</si>
  <si>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</si>
  <si>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</si>
  <si>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</si>
  <si>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</si>
  <si>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</si>
  <si>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</si>
  <si>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</si>
  <si>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</si>
  <si>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</si>
  <si>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</si>
  <si>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</si>
  <si>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</si>
  <si>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</si>
  <si>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</si>
  <si>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</si>
  <si>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</si>
  <si>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</si>
  <si>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</si>
  <si>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</si>
  <si>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</si>
  <si>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</si>
  <si>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</si>
  <si>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</si>
  <si>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</si>
  <si>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</si>
  <si>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</si>
  <si>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</si>
  <si>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</si>
  <si>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</si>
  <si>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</si>
  <si>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</si>
  <si>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</si>
  <si>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</si>
  <si>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</si>
  <si>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</si>
  <si>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</si>
  <si>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</si>
  <si>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</si>
  <si>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</si>
  <si>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</si>
  <si>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</si>
  <si>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</si>
  <si>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</si>
  <si>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</si>
  <si>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</si>
  <si>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</si>
  <si>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</si>
  <si>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</si>
  <si>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</si>
  <si>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</si>
  <si>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</si>
  <si>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</si>
  <si>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</si>
  <si>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</si>
  <si>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</si>
  <si>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</si>
  <si>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</si>
  <si>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</si>
  <si>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</si>
  <si>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</si>
  <si>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</si>
  <si>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</si>
  <si>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</si>
  <si>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</si>
  <si>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</si>
  <si>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</si>
  <si>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</si>
  <si>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</si>
  <si>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</si>
  <si>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</si>
  <si>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</si>
  <si>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</si>
  <si>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</si>
  <si>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</si>
  <si>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</si>
  <si>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</si>
  <si>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</si>
  <si>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</si>
  <si>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</si>
  <si>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</si>
  <si>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</si>
  <si>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</si>
  <si>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</si>
  <si>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</si>
  <si>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</si>
  <si>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</si>
  <si>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</si>
  <si>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</si>
  <si>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</si>
  <si>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</si>
  <si>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</si>
  <si>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</si>
  <si>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</si>
  <si>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</si>
  <si>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</si>
  <si>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</si>
  <si>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</si>
  <si>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</si>
  <si>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</si>
  <si>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</si>
  <si>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</si>
  <si>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</si>
  <si>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</si>
  <si>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</si>
  <si>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</si>
  <si>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</si>
  <si>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</si>
  <si>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</si>
  <si>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</si>
  <si>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</si>
  <si>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</si>
  <si>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</si>
  <si>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</si>
  <si>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</si>
  <si>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</si>
  <si>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</si>
  <si>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</si>
  <si>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</si>
  <si>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</si>
  <si>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</si>
  <si>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</si>
  <si>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</si>
  <si>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</si>
  <si>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</si>
  <si>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</si>
  <si>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</si>
  <si>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</si>
  <si>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Southland</t>
  </si>
  <si>
    <t>Bourke Street</t>
  </si>
  <si>
    <t>Highpoint</t>
  </si>
  <si>
    <t>Chadstone</t>
  </si>
  <si>
    <t>Melbourne Central</t>
  </si>
  <si>
    <t>East</t>
  </si>
  <si>
    <t>West</t>
  </si>
  <si>
    <t>Inner Metro</t>
  </si>
  <si>
    <t>South</t>
  </si>
  <si>
    <t>Skincare</t>
  </si>
  <si>
    <t>Makeup</t>
  </si>
  <si>
    <t>Fragrance</t>
  </si>
  <si>
    <t>Haircare</t>
  </si>
  <si>
    <t>Cleanser</t>
  </si>
  <si>
    <t>Toner</t>
  </si>
  <si>
    <t>Lipstick</t>
  </si>
  <si>
    <t>Perfume</t>
  </si>
  <si>
    <t>Concealer</t>
  </si>
  <si>
    <t>Shampoo</t>
  </si>
  <si>
    <t>Hair Oil</t>
  </si>
  <si>
    <t>Conditioner</t>
  </si>
  <si>
    <t>Hair Mask</t>
  </si>
  <si>
    <t>Body Mist</t>
  </si>
  <si>
    <t>Blush</t>
  </si>
  <si>
    <t>Sunscreen</t>
  </si>
  <si>
    <t>Mascara</t>
  </si>
  <si>
    <t>Foundation</t>
  </si>
  <si>
    <t>Moisturiser</t>
  </si>
  <si>
    <t>Serum</t>
  </si>
  <si>
    <t>Revenue</t>
  </si>
  <si>
    <t>Profit</t>
  </si>
  <si>
    <t>Sum of Revenue</t>
  </si>
  <si>
    <t>Row Labels</t>
  </si>
  <si>
    <t>Grand Total</t>
  </si>
  <si>
    <t>Monthly Revenue Trend</t>
  </si>
  <si>
    <t xml:space="preserve">Revenue </t>
  </si>
  <si>
    <t>Jan</t>
  </si>
  <si>
    <t>Feb</t>
  </si>
  <si>
    <t>Mar</t>
  </si>
  <si>
    <t>Apr</t>
  </si>
  <si>
    <t>May</t>
  </si>
  <si>
    <t>Sum of Revenue2</t>
  </si>
  <si>
    <t>Revenue by Store</t>
  </si>
  <si>
    <t>Cosmetics Retail Sales Performance Dashboard</t>
  </si>
  <si>
    <t>Total Cost</t>
  </si>
  <si>
    <t>Interactive analysis of sales, profitability, products and store performance.</t>
  </si>
  <si>
    <t>Total Revenue</t>
  </si>
  <si>
    <t>Total Profit</t>
  </si>
  <si>
    <t>Margin %</t>
  </si>
  <si>
    <t>Revenue by Category</t>
  </si>
  <si>
    <t xml:space="preserve">Top Products </t>
  </si>
  <si>
    <t>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</si>
</sst>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6" formatCode="&quot;$&quot;#,##0.00"/>
  </numFmts>
  <fonts count="11" x14ac:knownFonts="1">
    <font>
      <sz val="11"/>
      <color theme="1"/>
      <name val="Calibri"/>
      <family val="2"/>
      <scheme val="minor"/>
    </font>
    <font>
      <b/>
      <sz val="11"/>
      <color theme="1"/>
      <name val="Calibri"/>
      <family val="2"/>
      <scheme val="minor"/>
    </font>
    <font>
      <b/>
      <sz val="14"/>
      <color theme="1"/>
      <name val="Calibri"/>
      <family val="2"/>
      <scheme val="minor"/>
    </font>
    <font>
      <sz val="20"/>
      <color theme="1"/>
      <name val="Calibri (Body)"/>
    </font>
    <font>
      <b/>
      <sz val="20"/>
      <color theme="1"/>
      <name val="Calibri (Body)"/>
    </font>
    <font>
      <sz val="16"/>
      <color theme="1"/>
      <name val="Calibri"/>
      <family val="2"/>
      <scheme val="minor"/>
    </font>
    <font>
      <sz val="18"/>
      <color theme="1"/>
      <name val="Calibri"/>
      <family val="2"/>
      <scheme val="minor"/>
    </font>
    <font>
      <sz val="20"/>
      <color theme="1"/>
      <name val="Calibri"/>
      <family val="2"/>
      <scheme val="minor"/>
    </font>
    <font>
      <b/>
      <sz val="26"/>
      <color theme="1"/>
      <name val="Calibri"/>
      <family val="2"/>
      <scheme val="minor"/>
    </font>
    <font>
      <b/>
      <sz val="22"/>
      <color theme="1"/>
      <name val="Calibri (Body)"/>
    </font>
    <font>
      <b/>
      <sz val="14"/>
      <color theme="1"/>
      <name val="Calibri (Body)"/>
    </font>
  </fonts>
  <fills count="4">
    <fill>
      <patternFill patternType="none"/>
    </fill>
    <fill>
      <patternFill patternType="gray125"/>
    </fill>
    <fill>
      <patternFill patternType="solid">
        <fgColor theme="3" tint="0.59999389629810485"/>
        <bgColor indexed="64"/>
      </patternFill>
    </fill>
    <fill>
      <patternFill patternType="solid">
        <fgColor theme="4" tint="0.79998168889431442"/>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2">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2" fillId="0" borderId="0" xfId="0" applyFont="1"/>
    <xf numFmtId="0" fontId="0" fillId="0" borderId="0" xfId="0" applyAlignment="1">
      <alignment horizontal="center"/>
    </xf>
    <xf numFmtId="14" fontId="0" fillId="0" borderId="0" xfId="0" applyNumberFormat="1"/>
    <xf numFmtId="1" fontId="0" fillId="0" borderId="0" xfId="0" applyNumberFormat="1"/>
    <xf numFmtId="164" fontId="0" fillId="0" borderId="0" xfId="0" applyNumberFormat="1"/>
    <xf numFmtId="166" fontId="7" fillId="0" borderId="0" xfId="0" applyNumberFormat="1" applyFont="1"/>
    <xf numFmtId="1" fontId="7" fillId="3" borderId="0" xfId="0" applyNumberFormat="1" applyFont="1" applyFill="1" applyAlignment="1">
      <alignment horizontal="center"/>
    </xf>
    <xf numFmtId="0" fontId="4" fillId="2" borderId="0" xfId="0" applyFont="1" applyFill="1" applyAlignment="1">
      <alignment horizontal="center"/>
    </xf>
    <xf numFmtId="0" fontId="0" fillId="2" borderId="0" xfId="0" applyFill="1" applyAlignment="1">
      <alignment horizontal="center"/>
    </xf>
    <xf numFmtId="0" fontId="3" fillId="2" borderId="0" xfId="0" applyFont="1" applyFill="1" applyAlignment="1">
      <alignment horizontal="center"/>
    </xf>
    <xf numFmtId="0" fontId="7" fillId="3" borderId="0" xfId="0" applyFont="1" applyFill="1" applyAlignment="1">
      <alignment horizontal="center"/>
    </xf>
    <xf numFmtId="10" fontId="5" fillId="3" borderId="0" xfId="0" applyNumberFormat="1" applyFont="1" applyFill="1" applyAlignment="1">
      <alignment horizontal="center"/>
    </xf>
    <xf numFmtId="0" fontId="8" fillId="2" borderId="0" xfId="0" applyFont="1" applyFill="1" applyAlignment="1">
      <alignment horizontal="center" wrapText="1"/>
    </xf>
    <xf numFmtId="0" fontId="6" fillId="3" borderId="0" xfId="0" applyFont="1" applyFill="1" applyAlignment="1">
      <alignment horizontal="center"/>
    </xf>
    <xf numFmtId="0" fontId="9" fillId="2" borderId="0" xfId="0" applyFont="1" applyFill="1" applyAlignment="1">
      <alignment horizontal="center"/>
    </xf>
    <xf numFmtId="0" fontId="1" fillId="0" borderId="0" xfId="0" applyFont="1" applyAlignment="1">
      <alignment horizontal="center"/>
    </xf>
    <xf numFmtId="0" fontId="0" fillId="0" borderId="0" xfId="0" applyAlignment="1">
      <alignment horizontal="center" wrapText="1"/>
    </xf>
    <xf numFmtId="0" fontId="10" fillId="0" borderId="0" xfId="0" applyFont="1" applyAlignment="1">
      <alignment horizontal="center" wrapText="1"/>
    </xf>
  </cellXfs>
  <cellStyles count="1">
    <cellStyle name="Normal" xfId="0" builtinId="0"/>
  </cellStyles>
  <dxfs count="107">
    <dxf>
      <numFmt numFmtId="1" formatCode="0"/>
    </dxf>
    <dxf>
      <numFmt numFmtId="1" formatCode="0"/>
    </dxf>
    <dxf>
      <numFmt numFmtId="164" formatCode="0.0%"/>
    </dxf>
    <dxf>
      <numFmt numFmtId="1" formatCode="0"/>
    </dxf>
    <dxf>
      <numFmt numFmtId="1" formatCode="0"/>
    </dxf>
    <dxf>
      <numFmt numFmtId="1" formatCode="0"/>
    </dxf>
    <dxf>
      <numFmt numFmtId="1" formatCode="0"/>
    </dxf>
    <dxf>
      <numFmt numFmtId="164" formatCode="0.0%"/>
    </dxf>
    <dxf>
      <numFmt numFmtId="1" formatCode="0"/>
    </dxf>
    <dxf>
      <numFmt numFmtId="1" formatCode="0"/>
    </dxf>
    <dxf>
      <numFmt numFmtId="1" formatCode="0"/>
    </dxf>
    <dxf>
      <numFmt numFmtId="1" formatCode="0"/>
    </dxf>
    <dxf>
      <numFmt numFmtId="164" formatCode="0.0%"/>
    </dxf>
    <dxf>
      <numFmt numFmtId="1" formatCode="0"/>
    </dxf>
    <dxf>
      <numFmt numFmtId="1" formatCode="0"/>
    </dxf>
    <dxf>
      <numFmt numFmtId="1" formatCode="0"/>
    </dxf>
    <dxf>
      <numFmt numFmtId="1" formatCode="0"/>
    </dxf>
    <dxf>
      <numFmt numFmtId="164" formatCode="0.0%"/>
    </dxf>
    <dxf>
      <numFmt numFmtId="1" formatCode="0"/>
    </dxf>
    <dxf>
      <numFmt numFmtId="1" formatCode="0"/>
    </dxf>
    <dxf>
      <numFmt numFmtId="1" formatCode="0"/>
    </dxf>
    <dxf>
      <numFmt numFmtId="1" formatCode="0"/>
    </dxf>
    <dxf>
      <numFmt numFmtId="164" formatCode="0.0%"/>
    </dxf>
    <dxf>
      <numFmt numFmtId="1" formatCode="0"/>
    </dxf>
    <dxf>
      <numFmt numFmtId="1" formatCode="0"/>
    </dxf>
    <dxf>
      <numFmt numFmtId="1" formatCode="0"/>
    </dxf>
    <dxf>
      <numFmt numFmtId="1" formatCode="0"/>
    </dxf>
    <dxf>
      <numFmt numFmtId="164" formatCode="0.0%"/>
    </dxf>
    <dxf>
      <numFmt numFmtId="1" formatCode="0"/>
    </dxf>
    <dxf>
      <numFmt numFmtId="1" formatCode="0"/>
    </dxf>
    <dxf>
      <numFmt numFmtId="1" formatCode="0"/>
    </dxf>
    <dxf>
      <numFmt numFmtId="1" formatCode="0"/>
    </dxf>
    <dxf>
      <numFmt numFmtId="164" formatCode="0.0%"/>
    </dxf>
    <dxf>
      <numFmt numFmtId="1" formatCode="0"/>
    </dxf>
    <dxf>
      <numFmt numFmtId="1" formatCode="0"/>
    </dxf>
    <dxf>
      <numFmt numFmtId="1" formatCode="0"/>
    </dxf>
    <dxf>
      <numFmt numFmtId="1" formatCode="0"/>
    </dxf>
    <dxf>
      <numFmt numFmtId="1" formatCode="0"/>
    </dxf>
    <dxf>
      <numFmt numFmtId="164" formatCode="0.0%"/>
    </dxf>
    <dxf>
      <numFmt numFmtId="1" formatCode="0"/>
    </dxf>
    <dxf>
      <numFmt numFmtId="1" formatCode="0"/>
    </dxf>
    <dxf>
      <numFmt numFmtId="1" formatCode="0"/>
    </dxf>
    <dxf>
      <numFmt numFmtId="164" formatCode="0.0%"/>
    </dxf>
    <dxf>
      <numFmt numFmtId="1" formatCode="0"/>
    </dxf>
    <dxf>
      <numFmt numFmtId="1" formatCode="0"/>
    </dxf>
    <dxf>
      <numFmt numFmtId="1" formatCode="0"/>
    </dxf>
    <dxf>
      <numFmt numFmtId="1" formatCode="0"/>
    </dxf>
    <dxf>
      <numFmt numFmtId="1" formatCode="0"/>
    </dxf>
    <dxf>
      <numFmt numFmtId="164" formatCode="0.0%"/>
    </dxf>
    <dxf>
      <numFmt numFmtId="1" formatCode="0"/>
    </dxf>
    <dxf>
      <numFmt numFmtId="1" formatCode="0"/>
    </dxf>
    <dxf>
      <numFmt numFmtId="1" formatCode="0"/>
    </dxf>
    <dxf>
      <numFmt numFmtId="1" formatCode="0"/>
    </dxf>
    <dxf>
      <numFmt numFmtId="164" formatCode="0.0%"/>
    </dxf>
    <dxf>
      <numFmt numFmtId="1" formatCode="0"/>
    </dxf>
    <dxf>
      <numFmt numFmtId="1" formatCode="0"/>
    </dxf>
    <dxf>
      <numFmt numFmtId="1" formatCode="0"/>
    </dxf>
    <dxf>
      <numFmt numFmtId="1" formatCode="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 formatCode="0"/>
    </dxf>
    <dxf>
      <numFmt numFmtId="1" formatCode="0"/>
    </dxf>
    <dxf>
      <numFmt numFmtId="1" formatCode="0"/>
    </dxf>
    <dxf>
      <numFmt numFmtId="164" formatCode="0.0%"/>
    </dxf>
    <dxf>
      <numFmt numFmtId="1" formatCode="0"/>
    </dxf>
    <dxf>
      <numFmt numFmtId="1" formatCode="0"/>
    </dxf>
    <dxf>
      <numFmt numFmtId="1" formatCode="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5" formatCode="0.0"/>
    </dxf>
    <dxf>
      <numFmt numFmtId="165" formatCode="0.0"/>
    </dxf>
    <dxf>
      <numFmt numFmtId="1" formatCode="0"/>
    </dxf>
    <dxf>
      <numFmt numFmtId="1" formatCode="0"/>
    </dxf>
    <dxf>
      <numFmt numFmtId="1" formatCode="0"/>
    </dxf>
    <dxf>
      <numFmt numFmtId="1" formatCode="0"/>
    </dxf>
    <dxf>
      <numFmt numFmtId="1" formatCode="0"/>
    </dxf>
    <dxf>
      <numFmt numFmtId="1" formatCode="0"/>
    </dxf>
    <dxf>
      <numFmt numFmtId="165" formatCode="0.0"/>
    </dxf>
    <dxf>
      <numFmt numFmtId="165" formatCode="0.0"/>
    </dxf>
    <dxf>
      <numFmt numFmtId="0" formatCode="General"/>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[cosmetics_retail_dataset.xlsx]Pivot_MonthlyTrend!PivotTable3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 Revenue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Pivot_MonthlyTrend!$C$4</c:f>
              <c:strCache>
                <c:ptCount val="1"/>
                <c:pt idx="0">
                  <c:v>Total</c:v>
                </c:pt>
              </c:strCache>
            </c:strRef>
          </c:tx>
          <c:spPr>
            <a:ln w="28575" cap="rnd">
              <a:solidFill>
                <a:schemeClr val="accent1"/>
              </a:solidFill>
              <a:round/>
            </a:ln>
            <a:effectLst/>
          </c:spPr>
          <c:marker>
            <c:symbol val="none"/>
          </c:marker>
          <c:cat>
            <c:strRef>
              <c:f>Pivot_MonthlyTrend!$B$5:$B$10</c:f>
              <c:strCache>
                <c:ptCount val="5"/>
                <c:pt idx="0">
                  <c:v>Jan</c:v>
                </c:pt>
                <c:pt idx="1">
                  <c:v>Feb</c:v>
                </c:pt>
                <c:pt idx="2">
                  <c:v>Mar</c:v>
                </c:pt>
                <c:pt idx="3">
                  <c:v>Apr</c:v>
                </c:pt>
                <c:pt idx="4">
                  <c:v>May</c:v>
                </c:pt>
              </c:strCache>
            </c:strRef>
          </c:cat>
          <c:val>
            <c:numRef>
              <c:f>Pivot_MonthlyTrend!$C$5:$C$10</c:f>
              <c:numCache>
                <c:formatCode>0</c:formatCode>
                <c:ptCount val="5"/>
                <c:pt idx="0">
                  <c:v>18869.799999999992</c:v>
                </c:pt>
                <c:pt idx="1">
                  <c:v>16063.550000000001</c:v>
                </c:pt>
                <c:pt idx="2">
                  <c:v>17082.780000000006</c:v>
                </c:pt>
                <c:pt idx="3">
                  <c:v>16989.730000000003</c:v>
                </c:pt>
                <c:pt idx="4">
                  <c:v>879.93000000000006</c:v>
                </c:pt>
              </c:numCache>
            </c:numRef>
          </c:val>
          <c:smooth val="0"/>
          <c:extLst>
            <c:ext xmlns:c16="http://schemas.microsoft.com/office/drawing/2014/chart" uri="{C3380CC4-5D6E-409C-BE32-E72D297353CC}">
              <c16:uniqueId val="{00000000-53B7-A64D-A8ED-2383E4F9689D}"/>
            </c:ext>
          </c:extLst>
        </c:ser>
        <c:dLbls>
          <c:showLegendKey val="0"/>
          <c:showVal val="0"/>
          <c:showCatName val="0"/>
          <c:showSerName val="0"/>
          <c:showPercent val="0"/>
          <c:showBubbleSize val="0"/>
        </c:dLbls>
        <c:smooth val="0"/>
        <c:axId val="995925136"/>
        <c:axId val="799974640"/>
      </c:lineChart>
      <c:catAx>
        <c:axId val="995925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974640"/>
        <c:crosses val="autoZero"/>
        <c:auto val="1"/>
        <c:lblAlgn val="ctr"/>
        <c:lblOffset val="100"/>
        <c:noMultiLvlLbl val="0"/>
      </c:catAx>
      <c:valAx>
        <c:axId val="7999746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925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[cosmetics_retail_dataset.xlsx]Pivot_StorePerformance!PivotTable4</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Revenue by Store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s>
    <c:plotArea>
      <c:layout/>
      <c:pieChart>
        <c:varyColors val="1"/>
        <c:ser>
          <c:idx val="0"/>
          <c:order val="0"/>
          <c:tx>
            <c:strRef>
              <c:f>Pivot_StorePerformance!$C$4</c:f>
              <c:strCache>
                <c:ptCount val="1"/>
                <c:pt idx="0">
                  <c:v>Sum of Revenue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557-8346-8926-0266F2433A7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557-8346-8926-0266F2433A7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557-8346-8926-0266F2433A7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557-8346-8926-0266F2433A7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557-8346-8926-0266F2433A7E}"/>
              </c:ext>
            </c:extLst>
          </c:dPt>
          <c:cat>
            <c:strRef>
              <c:f>Pivot_StorePerformance!$B$5:$B$10</c:f>
              <c:strCache>
                <c:ptCount val="5"/>
                <c:pt idx="0">
                  <c:v>Highpoint</c:v>
                </c:pt>
                <c:pt idx="1">
                  <c:v>Chadstone</c:v>
                </c:pt>
                <c:pt idx="2">
                  <c:v>Bourke Street</c:v>
                </c:pt>
                <c:pt idx="3">
                  <c:v>Melbourne Central</c:v>
                </c:pt>
                <c:pt idx="4">
                  <c:v>Southland</c:v>
                </c:pt>
              </c:strCache>
            </c:strRef>
          </c:cat>
          <c:val>
            <c:numRef>
              <c:f>Pivot_StorePerformance!$C$5:$C$10</c:f>
              <c:numCache>
                <c:formatCode>0</c:formatCode>
                <c:ptCount val="5"/>
                <c:pt idx="0">
                  <c:v>16270.20000000001</c:v>
                </c:pt>
                <c:pt idx="1">
                  <c:v>14300.459999999997</c:v>
                </c:pt>
                <c:pt idx="2">
                  <c:v>14232.68</c:v>
                </c:pt>
                <c:pt idx="3">
                  <c:v>13885.199999999993</c:v>
                </c:pt>
                <c:pt idx="4">
                  <c:v>11197.25</c:v>
                </c:pt>
              </c:numCache>
            </c:numRef>
          </c:val>
          <c:extLst>
            <c:ext xmlns:c16="http://schemas.microsoft.com/office/drawing/2014/chart" uri="{C3380CC4-5D6E-409C-BE32-E72D297353CC}">
              <c16:uniqueId val="{0000000A-8557-8346-8926-0266F2433A7E}"/>
            </c:ext>
          </c:extLst>
        </c:ser>
        <c:ser>
          <c:idx val="1"/>
          <c:order val="1"/>
          <c:tx>
            <c:strRef>
              <c:f>Pivot_StorePerformance!$D$4</c:f>
              <c:strCache>
                <c:ptCount val="1"/>
                <c:pt idx="0">
                  <c:v>Sum of Revenue2</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C-8557-8346-8926-0266F2433A7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E-8557-8346-8926-0266F2433A7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0-8557-8346-8926-0266F2433A7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2-8557-8346-8926-0266F2433A7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4-8557-8346-8926-0266F2433A7E}"/>
              </c:ext>
            </c:extLst>
          </c:dPt>
          <c:cat>
            <c:strRef>
              <c:f>Pivot_StorePerformance!$B$5:$B$10</c:f>
              <c:strCache>
                <c:ptCount val="5"/>
                <c:pt idx="0">
                  <c:v>Highpoint</c:v>
                </c:pt>
                <c:pt idx="1">
                  <c:v>Chadstone</c:v>
                </c:pt>
                <c:pt idx="2">
                  <c:v>Bourke Street</c:v>
                </c:pt>
                <c:pt idx="3">
                  <c:v>Melbourne Central</c:v>
                </c:pt>
                <c:pt idx="4">
                  <c:v>Southland</c:v>
                </c:pt>
              </c:strCache>
            </c:strRef>
          </c:cat>
          <c:val>
            <c:numRef>
              <c:f>Pivot_StorePerformance!$D$5:$D$10</c:f>
              <c:numCache>
                <c:formatCode>0.0%</c:formatCode>
                <c:ptCount val="5"/>
                <c:pt idx="0">
                  <c:v>0.23281127679890301</c:v>
                </c:pt>
                <c:pt idx="1">
                  <c:v>0.20462614789072278</c:v>
                </c:pt>
                <c:pt idx="2">
                  <c:v>0.20365627976731748</c:v>
                </c:pt>
                <c:pt idx="3">
                  <c:v>0.19868416741085693</c:v>
                </c:pt>
                <c:pt idx="4">
                  <c:v>0.16022212813219969</c:v>
                </c:pt>
              </c:numCache>
            </c:numRef>
          </c:val>
          <c:extLst>
            <c:ext xmlns:c16="http://schemas.microsoft.com/office/drawing/2014/chart" uri="{C3380CC4-5D6E-409C-BE32-E72D297353CC}">
              <c16:uniqueId val="{00000015-8557-8346-8926-0266F2433A7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a:pPr>
            <a:r>
              <a:rPr lang="en-GB"/>
              <a:t>Revenue by Category</a:t>
            </a:r>
          </a:p>
        </c:rich>
      </c:tx>
      <c:overlay val="0"/>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7"/>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v>Series1</c:v>
          </c:tx>
          <c:spPr>
            <a:solidFill>
              <a:schemeClr val="accent1"/>
            </a:solidFill>
            <a:ln>
              <a:noFill/>
            </a:ln>
            <a:effectLst/>
          </c:spPr>
          <c:invertIfNegative val="0"/>
          <c:cat>
            <c:strLit>
              <c:ptCount val="4"/>
              <c:pt idx="0">
                <c:v>Fragrance</c:v>
              </c:pt>
              <c:pt idx="1">
                <c:v>Skincare</c:v>
              </c:pt>
              <c:pt idx="2">
                <c:v>Haircare</c:v>
              </c:pt>
              <c:pt idx="3">
                <c:v>Makeup</c:v>
              </c:pt>
            </c:strLit>
          </c:cat>
          <c:val>
            <c:numLit>
              <c:formatCode>General</c:formatCode>
              <c:ptCount val="4"/>
              <c:pt idx="0">
                <c:v>35260.969999999979</c:v>
              </c:pt>
              <c:pt idx="1">
                <c:v>13521.920000000006</c:v>
              </c:pt>
              <c:pt idx="2">
                <c:v>11249.980000000003</c:v>
              </c:pt>
              <c:pt idx="3">
                <c:v>9852.9200000000019</c:v>
              </c:pt>
            </c:numLit>
          </c:val>
          <c:extLst>
            <c:ext xmlns:c16="http://schemas.microsoft.com/office/drawing/2014/chart" uri="{C3380CC4-5D6E-409C-BE32-E72D297353CC}">
              <c16:uniqueId val="{00000004-E735-8F4A-879D-2C80D23B4B4A}"/>
            </c:ext>
          </c:extLst>
        </c:ser>
        <c:ser>
          <c:idx val="1"/>
          <c:order val="1"/>
          <c:tx>
            <c:v>Series2</c:v>
          </c:tx>
          <c:spPr>
            <a:solidFill>
              <a:schemeClr val="accent2"/>
            </a:solidFill>
            <a:ln>
              <a:noFill/>
            </a:ln>
            <a:effectLst/>
          </c:spPr>
          <c:invertIfNegative val="0"/>
          <c:cat>
            <c:strLit>
              <c:ptCount val="4"/>
              <c:pt idx="0">
                <c:v>Fragrance</c:v>
              </c:pt>
              <c:pt idx="1">
                <c:v>Skincare</c:v>
              </c:pt>
              <c:pt idx="2">
                <c:v>Haircare</c:v>
              </c:pt>
              <c:pt idx="3">
                <c:v>Makeup</c:v>
              </c:pt>
            </c:strLit>
          </c:cat>
          <c:val>
            <c:numLit>
              <c:formatCode>General</c:formatCode>
              <c:ptCount val="4"/>
              <c:pt idx="0">
                <c:v>30846.04</c:v>
              </c:pt>
              <c:pt idx="1">
                <c:v>11900.480000000001</c:v>
              </c:pt>
              <c:pt idx="2">
                <c:v>9894.2499999999945</c:v>
              </c:pt>
              <c:pt idx="3">
                <c:v>8616.7200000000012</c:v>
              </c:pt>
            </c:numLit>
          </c:val>
          <c:extLst>
            <c:ext xmlns:c16="http://schemas.microsoft.com/office/drawing/2014/chart" uri="{C3380CC4-5D6E-409C-BE32-E72D297353CC}">
              <c16:uniqueId val="{00000006-E735-8F4A-879D-2C80D23B4B4A}"/>
            </c:ext>
          </c:extLst>
        </c:ser>
        <c:dLbls>
          <c:showLegendKey val="0"/>
          <c:showVal val="0"/>
          <c:showCatName val="0"/>
          <c:showSerName val="0"/>
          <c:showPercent val="0"/>
          <c:showBubbleSize val="0"/>
        </c:dLbls>
        <c:gapWidth val="219"/>
        <c:overlap val="-27"/>
        <c:axId val="1024119152"/>
        <c:axId val="1024120864"/>
      </c:barChart>
      <c:catAx>
        <c:axId val="1024119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120864"/>
        <c:crosses val="autoZero"/>
        <c:auto val="1"/>
        <c:lblAlgn val="ctr"/>
        <c:lblOffset val="100"/>
        <c:noMultiLvlLbl val="0"/>
      </c:catAx>
      <c:valAx>
        <c:axId val="1024120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119152"/>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[cosmetics_retail_dataset.xlsx]Pivot_Category!PivotTable1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Pivot_Category!$C$4</c:f>
              <c:strCache>
                <c:ptCount val="1"/>
                <c:pt idx="0">
                  <c:v>Total</c:v>
                </c:pt>
              </c:strCache>
            </c:strRef>
          </c:tx>
          <c:spPr>
            <a:solidFill>
              <a:schemeClr val="accent1"/>
            </a:solidFill>
            <a:ln>
              <a:noFill/>
            </a:ln>
            <a:effectLst/>
          </c:spPr>
          <c:invertIfNegative val="0"/>
          <c:cat>
            <c:strRef>
              <c:f>Pivot_Category!$B$5:$B$9</c:f>
              <c:strCache>
                <c:ptCount val="4"/>
                <c:pt idx="0">
                  <c:v>Fragrance</c:v>
                </c:pt>
                <c:pt idx="1">
                  <c:v>Skincare</c:v>
                </c:pt>
                <c:pt idx="2">
                  <c:v>Haircare</c:v>
                </c:pt>
                <c:pt idx="3">
                  <c:v>Makeup</c:v>
                </c:pt>
              </c:strCache>
            </c:strRef>
          </c:cat>
          <c:val>
            <c:numRef>
              <c:f>Pivot_Category!$C$5:$C$9</c:f>
              <c:numCache>
                <c:formatCode>0</c:formatCode>
                <c:ptCount val="4"/>
                <c:pt idx="0">
                  <c:v>30846.04</c:v>
                </c:pt>
                <c:pt idx="1">
                  <c:v>11900.480000000001</c:v>
                </c:pt>
                <c:pt idx="2">
                  <c:v>9894.2499999999945</c:v>
                </c:pt>
                <c:pt idx="3">
                  <c:v>8616.7200000000012</c:v>
                </c:pt>
              </c:numCache>
            </c:numRef>
          </c:val>
          <c:extLst>
            <c:ext xmlns:c16="http://schemas.microsoft.com/office/drawing/2014/chart" uri="{C3380CC4-5D6E-409C-BE32-E72D297353CC}">
              <c16:uniqueId val="{00000000-D44D-834D-8ABF-6694A2C0DD8A}"/>
            </c:ext>
          </c:extLst>
        </c:ser>
        <c:dLbls>
          <c:showLegendKey val="0"/>
          <c:showVal val="0"/>
          <c:showCatName val="0"/>
          <c:showSerName val="0"/>
          <c:showPercent val="0"/>
          <c:showBubbleSize val="0"/>
        </c:dLbls>
        <c:gapWidth val="219"/>
        <c:overlap val="-27"/>
        <c:axId val="1132734160"/>
        <c:axId val="1133492064"/>
      </c:barChart>
      <c:catAx>
        <c:axId val="1132734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492064"/>
        <c:crosses val="autoZero"/>
        <c:auto val="1"/>
        <c:lblAlgn val="ctr"/>
        <c:lblOffset val="100"/>
        <c:noMultiLvlLbl val="0"/>
      </c:catAx>
      <c:valAx>
        <c:axId val="11334920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734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[cosmetics_retail_dataset.xlsx]Pivot_TopProducts!PivotTable6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10 Products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Pivot_TopProducts!$C$4</c:f>
              <c:strCache>
                <c:ptCount val="1"/>
                <c:pt idx="0">
                  <c:v>Total</c:v>
                </c:pt>
              </c:strCache>
            </c:strRef>
          </c:tx>
          <c:spPr>
            <a:solidFill>
              <a:schemeClr val="accent1"/>
            </a:solidFill>
            <a:ln>
              <a:noFill/>
            </a:ln>
            <a:effectLst/>
          </c:spPr>
          <c:invertIfNegative val="0"/>
          <c:cat>
            <c:strRef>
              <c:f>Pivot_TopProducts!$B$5:$B$15</c:f>
              <c:strCache>
                <c:ptCount val="10"/>
                <c:pt idx="0">
                  <c:v>Perfume</c:v>
                </c:pt>
                <c:pt idx="1">
                  <c:v>Body Mist</c:v>
                </c:pt>
                <c:pt idx="2">
                  <c:v>Hair Mask</c:v>
                </c:pt>
                <c:pt idx="3">
                  <c:v>Sunscreen</c:v>
                </c:pt>
                <c:pt idx="4">
                  <c:v>Moisturiser</c:v>
                </c:pt>
                <c:pt idx="5">
                  <c:v>Shampoo</c:v>
                </c:pt>
                <c:pt idx="6">
                  <c:v>Toner</c:v>
                </c:pt>
                <c:pt idx="7">
                  <c:v>Hair Oil</c:v>
                </c:pt>
                <c:pt idx="8">
                  <c:v>Concealer</c:v>
                </c:pt>
                <c:pt idx="9">
                  <c:v>Foundation</c:v>
                </c:pt>
              </c:strCache>
            </c:strRef>
          </c:cat>
          <c:val>
            <c:numRef>
              <c:f>Pivot_TopProducts!$C$5:$C$15</c:f>
              <c:numCache>
                <c:formatCode>0</c:formatCode>
                <c:ptCount val="10"/>
                <c:pt idx="0">
                  <c:v>18695.670000000002</c:v>
                </c:pt>
                <c:pt idx="1">
                  <c:v>16565.3</c:v>
                </c:pt>
                <c:pt idx="2">
                  <c:v>3720.33</c:v>
                </c:pt>
                <c:pt idx="3">
                  <c:v>3465.73</c:v>
                </c:pt>
                <c:pt idx="4">
                  <c:v>2978.1000000000004</c:v>
                </c:pt>
                <c:pt idx="5">
                  <c:v>2857.2199999999993</c:v>
                </c:pt>
                <c:pt idx="6">
                  <c:v>2630.4900000000002</c:v>
                </c:pt>
                <c:pt idx="7">
                  <c:v>2551.3599999999992</c:v>
                </c:pt>
                <c:pt idx="8">
                  <c:v>2469.8300000000004</c:v>
                </c:pt>
                <c:pt idx="9">
                  <c:v>2469.5100000000002</c:v>
                </c:pt>
              </c:numCache>
            </c:numRef>
          </c:val>
          <c:extLst>
            <c:ext xmlns:c16="http://schemas.microsoft.com/office/drawing/2014/chart" uri="{C3380CC4-5D6E-409C-BE32-E72D297353CC}">
              <c16:uniqueId val="{00000000-9E5F-7F49-9B46-8174C1C935A9}"/>
            </c:ext>
          </c:extLst>
        </c:ser>
        <c:dLbls>
          <c:showLegendKey val="0"/>
          <c:showVal val="0"/>
          <c:showCatName val="0"/>
          <c:showSerName val="0"/>
          <c:showPercent val="0"/>
          <c:showBubbleSize val="0"/>
        </c:dLbls>
        <c:gapWidth val="219"/>
        <c:overlap val="-27"/>
        <c:axId val="1482881663"/>
        <c:axId val="1483373151"/>
      </c:barChart>
      <c:catAx>
        <c:axId val="1482881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3373151"/>
        <c:crosses val="autoZero"/>
        <c:auto val="1"/>
        <c:lblAlgn val="ctr"/>
        <c:lblOffset val="100"/>
        <c:noMultiLvlLbl val="0"/>
      </c:catAx>
      <c:valAx>
        <c:axId val="14833731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881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326571</xdr:rowOff>
    </xdr:from>
    <xdr:to>
      <xdr:col>7</xdr:col>
      <xdr:colOff>0</xdr:colOff>
      <xdr:row>24</xdr:row>
      <xdr:rowOff>72572</xdr:rowOff>
    </xdr:to>
    <xdr:graphicFrame macro="">
      <xdr:nvGraphicFramePr>
        <xdr:cNvPr id="2" name="Chart 1">
          <a:extLst>
            <a:ext uri="{FF2B5EF4-FFF2-40B4-BE49-F238E27FC236}">
              <a16:creationId xmlns:a16="http://schemas.microsoft.com/office/drawing/2014/main" id="{76951C65-B910-3844-805B-EB2A3E1543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9</xdr:row>
      <xdr:rowOff>326571</xdr:rowOff>
    </xdr:from>
    <xdr:to>
      <xdr:col>14</xdr:col>
      <xdr:colOff>417286</xdr:colOff>
      <xdr:row>24</xdr:row>
      <xdr:rowOff>45358</xdr:rowOff>
    </xdr:to>
    <xdr:graphicFrame macro="">
      <xdr:nvGraphicFramePr>
        <xdr:cNvPr id="3" name="Chart 2">
          <a:extLst>
            <a:ext uri="{FF2B5EF4-FFF2-40B4-BE49-F238E27FC236}">
              <a16:creationId xmlns:a16="http://schemas.microsoft.com/office/drawing/2014/main" id="{C971CA11-B41C-5845-8CF9-CEEEAA7B0F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27</xdr:row>
      <xdr:rowOff>27214</xdr:rowOff>
    </xdr:from>
    <xdr:to>
      <xdr:col>7</xdr:col>
      <xdr:colOff>36286</xdr:colOff>
      <xdr:row>45</xdr:row>
      <xdr:rowOff>72573</xdr:rowOff>
    </xdr:to>
    <xdr:graphicFrame macro="">
      <xdr:nvGraphicFramePr>
        <xdr:cNvPr id="4" name="Chart 3">
          <a:extLst>
            <a:ext uri="{FF2B5EF4-FFF2-40B4-BE49-F238E27FC236}">
              <a16:creationId xmlns:a16="http://schemas.microsoft.com/office/drawing/2014/main" id="{6C486F62-85D7-D647-ACD2-2C35817C2E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26</xdr:row>
      <xdr:rowOff>190500</xdr:rowOff>
    </xdr:from>
    <xdr:to>
      <xdr:col>14</xdr:col>
      <xdr:colOff>381000</xdr:colOff>
      <xdr:row>45</xdr:row>
      <xdr:rowOff>36286</xdr:rowOff>
    </xdr:to>
    <xdr:graphicFrame macro="">
      <xdr:nvGraphicFramePr>
        <xdr:cNvPr id="5" name="Chart 4">
          <a:extLst>
            <a:ext uri="{FF2B5EF4-FFF2-40B4-BE49-F238E27FC236}">
              <a16:creationId xmlns:a16="http://schemas.microsoft.com/office/drawing/2014/main" id="{531DA01A-0E47-2544-8B4B-3B4AF7879C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46</xdr:row>
      <xdr:rowOff>190500</xdr:rowOff>
    </xdr:from>
    <xdr:to>
      <xdr:col>7</xdr:col>
      <xdr:colOff>18142</xdr:colOff>
      <xdr:row>64</xdr:row>
      <xdr:rowOff>172358</xdr:rowOff>
    </xdr:to>
    <xdr:graphicFrame macro="">
      <xdr:nvGraphicFramePr>
        <xdr:cNvPr id="6" name="Chart 5">
          <a:extLst>
            <a:ext uri="{FF2B5EF4-FFF2-40B4-BE49-F238E27FC236}">
              <a16:creationId xmlns:a16="http://schemas.microsoft.com/office/drawing/2014/main" id="{E9675EB7-A2FA-A64D-A563-AF53133AE2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0</xdr:colOff>
      <xdr:row>11</xdr:row>
      <xdr:rowOff>0</xdr:rowOff>
    </xdr:from>
    <xdr:to>
      <xdr:col>19</xdr:col>
      <xdr:colOff>185270</xdr:colOff>
      <xdr:row>24</xdr:row>
      <xdr:rowOff>928</xdr:rowOff>
    </xdr:to>
    <mc:AlternateContent xmlns:mc="http://schemas.openxmlformats.org/markup-compatibility/2006">
      <mc:Choice xmlns:a14="http://schemas.microsoft.com/office/drawing/2010/main" Requires="a14">
        <xdr:graphicFrame macro="">
          <xdr:nvGraphicFramePr>
            <xdr:cNvPr id="7" name="Store 1">
              <a:extLst>
                <a:ext uri="{FF2B5EF4-FFF2-40B4-BE49-F238E27FC236}">
                  <a16:creationId xmlns:a16="http://schemas.microsoft.com/office/drawing/2014/main" id="{937C3E26-93FC-744C-BE5B-9B757882F6D5}"/>
                </a:ext>
              </a:extLst>
            </xdr:cNvPr>
            <xdr:cNvGraphicFramePr/>
          </xdr:nvGraphicFramePr>
          <xdr:xfrm>
            <a:off x="0" y="0"/>
            <a:ext cx="0" cy="0"/>
          </xdr:xfrm>
          <a:graphic>
            <a:graphicData uri="http://schemas.microsoft.com/office/drawing/2010/slicer">
              <sle:slicer xmlns:sle="http://schemas.microsoft.com/office/drawing/2010/slicer" name="Store 1"/>
            </a:graphicData>
          </a:graphic>
        </xdr:graphicFrame>
      </mc:Choice>
      <mc:Fallback>
        <xdr:sp macro="" textlink="">
          <xdr:nvSpPr>
            <xdr:cNvPr id="0" name=""/>
            <xdr:cNvSpPr>
              <a:spLocks noTextEdit="1"/>
            </xdr:cNvSpPr>
          </xdr:nvSpPr>
          <xdr:spPr>
            <a:xfrm>
              <a:off x="14305472" y="2516038"/>
              <a:ext cx="1814704" cy="249300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0</xdr:colOff>
      <xdr:row>27</xdr:row>
      <xdr:rowOff>0</xdr:rowOff>
    </xdr:from>
    <xdr:to>
      <xdr:col>19</xdr:col>
      <xdr:colOff>185270</xdr:colOff>
      <xdr:row>40</xdr:row>
      <xdr:rowOff>927</xdr:rowOff>
    </xdr:to>
    <mc:AlternateContent xmlns:mc="http://schemas.openxmlformats.org/markup-compatibility/2006">
      <mc:Choice xmlns:a14="http://schemas.microsoft.com/office/drawing/2010/main" Requires="a14">
        <xdr:graphicFrame macro="">
          <xdr:nvGraphicFramePr>
            <xdr:cNvPr id="8" name="Region 1">
              <a:extLst>
                <a:ext uri="{FF2B5EF4-FFF2-40B4-BE49-F238E27FC236}">
                  <a16:creationId xmlns:a16="http://schemas.microsoft.com/office/drawing/2014/main" id="{0C39818E-9C87-5344-88A6-005817AE659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4305472" y="5583208"/>
              <a:ext cx="1814704" cy="249300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0</xdr:colOff>
      <xdr:row>44</xdr:row>
      <xdr:rowOff>0</xdr:rowOff>
    </xdr:from>
    <xdr:to>
      <xdr:col>19</xdr:col>
      <xdr:colOff>185270</xdr:colOff>
      <xdr:row>57</xdr:row>
      <xdr:rowOff>927</xdr:rowOff>
    </xdr:to>
    <mc:AlternateContent xmlns:mc="http://schemas.openxmlformats.org/markup-compatibility/2006">
      <mc:Choice xmlns:a14="http://schemas.microsoft.com/office/drawing/2010/main" Requires="a14">
        <xdr:graphicFrame macro="">
          <xdr:nvGraphicFramePr>
            <xdr:cNvPr id="9" name="Category 1">
              <a:extLst>
                <a:ext uri="{FF2B5EF4-FFF2-40B4-BE49-F238E27FC236}">
                  <a16:creationId xmlns:a16="http://schemas.microsoft.com/office/drawing/2014/main" id="{8CA880A7-DAFC-8C4C-8FBC-8C83EF0BFAB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4305472" y="8842075"/>
              <a:ext cx="1814704" cy="249300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132292</xdr:colOff>
      <xdr:row>66</xdr:row>
      <xdr:rowOff>39688</xdr:rowOff>
    </xdr:from>
    <xdr:to>
      <xdr:col>14</xdr:col>
      <xdr:colOff>806980</xdr:colOff>
      <xdr:row>83</xdr:row>
      <xdr:rowOff>132291</xdr:rowOff>
    </xdr:to>
    <xdr:sp macro="" textlink="">
      <xdr:nvSpPr>
        <xdr:cNvPr id="11" name="KeyInsightsBox">
          <a:extLst>
            <a:ext uri="{FF2B5EF4-FFF2-40B4-BE49-F238E27FC236}">
              <a16:creationId xmlns:a16="http://schemas.microsoft.com/office/drawing/2014/main" id="{3DFB3988-3E7E-2F9A-7C3C-41D9E8F231B4}"/>
            </a:ext>
          </a:extLst>
        </xdr:cNvPr>
        <xdr:cNvSpPr txBox="1"/>
      </xdr:nvSpPr>
      <xdr:spPr>
        <a:xfrm>
          <a:off x="132292" y="12673542"/>
          <a:ext cx="12607396" cy="3241145"/>
        </a:xfrm>
        <a:prstGeom prst="rect">
          <a:avLst/>
        </a:prstGeom>
        <a:solidFill>
          <a:srgbClr val="F5F5F5"/>
        </a:solidFill>
        <a:ln>
          <a:solidFill>
            <a:srgbClr val="4472C4"/>
          </a:solidFill>
        </a:ln>
      </xdr:spPr>
      <xdr:txBody>
        <a:bodyPr vertOverflow="overflow" vert="horz" wrap="square" rtlCol="0" anchor="t">
          <a:noAutofit/>
        </a:bodyPr>
        <a:lstStyle/>
        <a:p>
          <a:pPr algn="l"/>
          <a:r>
            <a:rPr lang="en-GB" sz="1400" b="1"/>
            <a:t>Key Insights</a:t>
          </a:r>
          <a:r>
            <a:rPr lang="en-GB"/>
            <a:t>
1. 
2. 
3. 
4. 
5. </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yed Akif Hasan" refreshedDate="46174.852653240741" createdVersion="8" refreshedVersion="8" minRefreshableVersion="3" recordCount="500" xr:uid="{8312207F-A740-EC45-8B67-5F9BEECCC81F}">
  <cacheSource type="worksheet">
    <worksheetSource name="SalesDataTable"/>
  </cacheSource>
  <cacheFields count="13">
    <cacheField name="Order ID" numFmtId="0">
      <sharedItems/>
    </cacheField>
    <cacheField name="Date" numFmtId="14">
      <sharedItems containsSemiMixedTypes="0" containsNonDate="0" containsDate="1" containsString="0" minDate="2025-01-01T00:00:00" maxDate="2025-05-02T00:00:00" count="121">
        <d v="2025-04-05T00:00:00"/>
        <d v="2025-01-12T00:00:00"/>
        <d v="2025-03-06T00:00:00"/>
        <d v="2025-02-27T00:00:00"/>
        <d v="2025-02-13T00:00:00"/>
        <d v="2025-04-04T00:00:00"/>
        <d v="2025-03-15T00:00:00"/>
        <d v="2025-04-20T00:00:00"/>
        <d v="2025-02-17T00:00:00"/>
        <d v="2025-03-23T00:00:00"/>
        <d v="2025-03-29T00:00:00"/>
        <d v="2025-02-04T00:00:00"/>
        <d v="2025-04-24T00:00:00"/>
        <d v="2025-04-25T00:00:00"/>
        <d v="2025-03-05T00:00:00"/>
        <d v="2025-03-18T00:00:00"/>
        <d v="2025-03-12T00:00:00"/>
        <d v="2025-02-07T00:00:00"/>
        <d v="2025-04-10T00:00:00"/>
        <d v="2025-04-23T00:00:00"/>
        <d v="2025-02-03T00:00:00"/>
        <d v="2025-02-21T00:00:00"/>
        <d v="2025-01-09T00:00:00"/>
        <d v="2025-01-28T00:00:00"/>
        <d v="2025-01-25T00:00:00"/>
        <d v="2025-04-21T00:00:00"/>
        <d v="2025-02-01T00:00:00"/>
        <d v="2025-03-01T00:00:00"/>
        <d v="2025-03-25T00:00:00"/>
        <d v="2025-02-22T00:00:00"/>
        <d v="2025-02-18T00:00:00"/>
        <d v="2025-02-24T00:00:00"/>
        <d v="2025-03-16T00:00:00"/>
        <d v="2025-01-08T00:00:00"/>
        <d v="2025-04-30T00:00:00"/>
        <d v="2025-03-27T00:00:00"/>
        <d v="2025-02-28T00:00:00"/>
        <d v="2025-04-17T00:00:00"/>
        <d v="2025-05-01T00:00:00"/>
        <d v="2025-02-06T00:00:00"/>
        <d v="2025-02-02T00:00:00"/>
        <d v="2025-02-12T00:00:00"/>
        <d v="2025-01-15T00:00:00"/>
        <d v="2025-01-17T00:00:00"/>
        <d v="2025-01-27T00:00:00"/>
        <d v="2025-04-29T00:00:00"/>
        <d v="2025-04-22T00:00:00"/>
        <d v="2025-02-09T00:00:00"/>
        <d v="2025-02-05T00:00:00"/>
        <d v="2025-01-14T00:00:00"/>
        <d v="2025-03-19T00:00:00"/>
        <d v="2025-01-06T00:00:00"/>
        <d v="2025-03-21T00:00:00"/>
        <d v="2025-03-20T00:00:00"/>
        <d v="2025-03-07T00:00:00"/>
        <d v="2025-04-15T00:00:00"/>
        <d v="2025-03-13T00:00:00"/>
        <d v="2025-04-07T00:00:00"/>
        <d v="2025-01-10T00:00:00"/>
        <d v="2025-01-20T00:00:00"/>
        <d v="2025-04-26T00:00:00"/>
        <d v="2025-03-04T00:00:00"/>
        <d v="2025-04-18T00:00:00"/>
        <d v="2025-03-24T00:00:00"/>
        <d v="2025-02-11T00:00:00"/>
        <d v="2025-01-29T00:00:00"/>
        <d v="2025-04-12T00:00:00"/>
        <d v="2025-02-16T00:00:00"/>
        <d v="2025-01-04T00:00:00"/>
        <d v="2025-01-31T00:00:00"/>
        <d v="2025-03-26T00:00:00"/>
        <d v="2025-04-06T00:00:00"/>
        <d v="2025-01-30T00:00:00"/>
        <d v="2025-01-07T00:00:00"/>
        <d v="2025-04-27T00:00:00"/>
        <d v="2025-02-26T00:00:00"/>
        <d v="2025-03-08T00:00:00"/>
        <d v="2025-03-22T00:00:00"/>
        <d v="2025-01-16T00:00:00"/>
        <d v="2025-01-05T00:00:00"/>
        <d v="2025-03-09T00:00:00"/>
        <d v="2025-03-02T00:00:00"/>
        <d v="2025-02-10T00:00:00"/>
        <d v="2025-01-22T00:00:00"/>
        <d v="2025-02-15T00:00:00"/>
        <d v="2025-01-26T00:00:00"/>
        <d v="2025-03-31T00:00:00"/>
        <d v="2025-04-11T00:00:00"/>
        <d v="2025-04-13T00:00:00"/>
        <d v="2025-04-19T00:00:00"/>
        <d v="2025-03-10T00:00:00"/>
        <d v="2025-04-16T00:00:00"/>
        <d v="2025-01-18T00:00:00"/>
        <d v="2025-03-30T00:00:00"/>
        <d v="2025-01-13T00:00:00"/>
        <d v="2025-03-11T00:00:00"/>
        <d v="2025-01-02T00:00:00"/>
        <d v="2025-04-03T00:00:00"/>
        <d v="2025-04-08T00:00:00"/>
        <d v="2025-02-14T00:00:00"/>
        <d v="2025-01-19T00:00:00"/>
        <d v="2025-01-21T00:00:00"/>
        <d v="2025-02-25T00:00:00"/>
        <d v="2025-01-23T00:00:00"/>
        <d v="2025-02-20T00:00:00"/>
        <d v="2025-03-17T00:00:00"/>
        <d v="2025-03-28T00:00:00"/>
        <d v="2025-01-11T00:00:00"/>
        <d v="2025-04-09T00:00:00"/>
        <d v="2025-02-19T00:00:00"/>
        <d v="2025-01-01T00:00:00"/>
        <d v="2025-04-02T00:00:00"/>
        <d v="2025-04-14T00:00:00"/>
        <d v="2025-03-03T00:00:00"/>
        <d v="2025-03-14T00:00:00"/>
        <d v="2025-04-01T00:00:00"/>
        <d v="2025-02-23T00:00:00"/>
        <d v="2025-01-24T00:00:00"/>
        <d v="2025-04-28T00:00:00"/>
        <d v="2025-01-03T00:00:00"/>
        <d v="2025-02-08T00:00:00"/>
      </sharedItems>
      <fieldGroup par="12"/>
    </cacheField>
    <cacheField name="Store" numFmtId="0">
      <sharedItems count="5">
        <s v="Southland"/>
        <s v="Bourke Street"/>
        <s v="Highpoint"/>
        <s v="Chadstone"/>
        <s v="Melbourne Central"/>
      </sharedItems>
    </cacheField>
    <cacheField name="Region" numFmtId="0">
      <sharedItems count="4">
        <s v="East"/>
        <s v="West"/>
        <s v="Inner Metro"/>
        <s v="South"/>
      </sharedItems>
    </cacheField>
    <cacheField name="Category" numFmtId="0">
      <sharedItems count="4">
        <s v="Skincare"/>
        <s v="Makeup"/>
        <s v="Fragrance"/>
        <s v="Haircare"/>
      </sharedItems>
    </cacheField>
    <cacheField name="Product" numFmtId="0">
      <sharedItems count="16">
        <s v="Cleanser"/>
        <s v="Toner"/>
        <s v="Lipstick"/>
        <s v="Perfume"/>
        <s v="Concealer"/>
        <s v="Shampoo"/>
        <s v="Hair Oil"/>
        <s v="Conditioner"/>
        <s v="Hair Mask"/>
        <s v="Body Mist"/>
        <s v="Blush"/>
        <s v="Sunscreen"/>
        <s v="Mascara"/>
        <s v="Foundation"/>
        <s v="Moisturiser"/>
        <s v="Serum"/>
      </sharedItems>
    </cacheField>
    <cacheField name="Units Sold" numFmtId="0">
      <sharedItems containsSemiMixedTypes="0" containsString="0" containsNumber="1" containsInteger="1" minValue="1" maxValue="8"/>
    </cacheField>
    <cacheField name="Unit Price" numFmtId="0">
      <sharedItems containsSemiMixedTypes="0" containsString="0" containsNumber="1" minValue="6.49" maxValue="79.260000000000005"/>
    </cacheField>
    <cacheField name="Cost Price" numFmtId="0">
      <sharedItems containsSemiMixedTypes="0" containsString="0" containsNumber="1" minValue="2.87" maxValue="46.7"/>
    </cacheField>
    <cacheField name="Revenue" numFmtId="0">
      <sharedItems containsSemiMixedTypes="0" containsString="0" containsNumber="1" minValue="13.77" maxValue="547.52"/>
    </cacheField>
    <cacheField name="Profit" numFmtId="0">
      <sharedItems containsSemiMixedTypes="0" containsString="0" containsNumber="1" minValue="4.76" maxValue="514.01"/>
    </cacheField>
    <cacheField name="Total Cost" numFmtId="0">
      <sharedItems containsSemiMixedTypes="0" containsString="0" containsNumber="1" minValue="6.84" maxValue="330.88"/>
    </cacheField>
    <cacheField name="Months (Date)" numFmtId="0" databaseField="0">
      <fieldGroup base="1">
        <rangePr groupBy="months" startDate="2025-01-01T00:00:00" endDate="2025-05-02T00:00:00"/>
        <groupItems count="14">
          <s v="&lt;1/1/2025"/>
          <s v="Jan"/>
          <s v="Feb"/>
          <s v="Mar"/>
          <s v="Apr"/>
          <s v="May"/>
          <s v="Jun"/>
          <s v="Jul"/>
          <s v="Aug"/>
          <s v="Sep"/>
          <s v="Oct"/>
          <s v="Nov"/>
          <s v="Dec"/>
          <s v="&gt;2/5/2025"/>
        </groupItems>
      </fieldGroup>
    </cacheField>
  </cacheFields>
  <extLst>
    <ext xmlns:x14="http://schemas.microsoft.com/office/spreadsheetml/2009/9/main" uri="{725AE2AE-9491-48be-B2B4-4EB974FC3084}">
      <x14:pivotCacheDefinition pivotCacheId="7346000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ORD1000"/>
    <x v="0"/>
    <x v="0"/>
    <x v="0"/>
    <x v="0"/>
    <x v="0"/>
    <n v="4"/>
    <n v="27.48"/>
    <n v="12.14"/>
    <n v="109.92"/>
    <n v="97.78"/>
    <n v="48.56"/>
  </r>
  <r>
    <s v="ORD1001"/>
    <x v="1"/>
    <x v="1"/>
    <x v="1"/>
    <x v="0"/>
    <x v="1"/>
    <n v="1"/>
    <n v="24.31"/>
    <n v="9.94"/>
    <n v="24.31"/>
    <n v="14.37"/>
    <n v="9.94"/>
  </r>
  <r>
    <s v="ORD1002"/>
    <x v="2"/>
    <x v="1"/>
    <x v="2"/>
    <x v="1"/>
    <x v="2"/>
    <n v="4"/>
    <n v="23.24"/>
    <n v="14.29"/>
    <n v="92.96"/>
    <n v="78.669999999999987"/>
    <n v="57.16"/>
  </r>
  <r>
    <s v="ORD1003"/>
    <x v="3"/>
    <x v="1"/>
    <x v="3"/>
    <x v="2"/>
    <x v="3"/>
    <n v="1"/>
    <n v="67.62"/>
    <n v="42.44"/>
    <n v="67.62"/>
    <n v="25.180000000000007"/>
    <n v="42.44"/>
  </r>
  <r>
    <s v="ORD1004"/>
    <x v="4"/>
    <x v="0"/>
    <x v="0"/>
    <x v="1"/>
    <x v="4"/>
    <n v="4"/>
    <n v="18.829999999999998"/>
    <n v="12.94"/>
    <n v="75.319999999999993"/>
    <n v="62.379999999999995"/>
    <n v="51.76"/>
  </r>
  <r>
    <s v="ORD1005"/>
    <x v="1"/>
    <x v="2"/>
    <x v="2"/>
    <x v="3"/>
    <x v="5"/>
    <n v="6"/>
    <n v="16.829999999999998"/>
    <n v="11.01"/>
    <n v="100.97999999999999"/>
    <n v="89.969999999999985"/>
    <n v="66.06"/>
  </r>
  <r>
    <s v="ORD1006"/>
    <x v="5"/>
    <x v="2"/>
    <x v="2"/>
    <x v="3"/>
    <x v="5"/>
    <n v="7"/>
    <n v="25.9"/>
    <n v="10.97"/>
    <n v="181.29999999999998"/>
    <n v="170.32999999999998"/>
    <n v="76.790000000000006"/>
  </r>
  <r>
    <s v="ORD1007"/>
    <x v="6"/>
    <x v="3"/>
    <x v="2"/>
    <x v="3"/>
    <x v="6"/>
    <n v="1"/>
    <n v="21.84"/>
    <n v="13.07"/>
    <n v="21.84"/>
    <n v="8.77"/>
    <n v="13.07"/>
  </r>
  <r>
    <s v="ORD1008"/>
    <x v="7"/>
    <x v="3"/>
    <x v="2"/>
    <x v="3"/>
    <x v="5"/>
    <n v="7"/>
    <n v="15.65"/>
    <n v="7.57"/>
    <n v="109.55"/>
    <n v="101.97999999999999"/>
    <n v="52.99"/>
  </r>
  <r>
    <s v="ORD1009"/>
    <x v="8"/>
    <x v="0"/>
    <x v="0"/>
    <x v="3"/>
    <x v="7"/>
    <n v="5"/>
    <n v="20.71"/>
    <n v="12.64"/>
    <n v="103.55000000000001"/>
    <n v="90.910000000000011"/>
    <n v="63.2"/>
  </r>
  <r>
    <s v="ORD1010"/>
    <x v="9"/>
    <x v="3"/>
    <x v="0"/>
    <x v="0"/>
    <x v="1"/>
    <n v="3"/>
    <n v="22.68"/>
    <n v="12.22"/>
    <n v="68.039999999999992"/>
    <n v="55.819999999999993"/>
    <n v="36.660000000000004"/>
  </r>
  <r>
    <s v="ORD1011"/>
    <x v="10"/>
    <x v="0"/>
    <x v="2"/>
    <x v="3"/>
    <x v="7"/>
    <n v="4"/>
    <n v="15.67"/>
    <n v="10.130000000000001"/>
    <n v="62.68"/>
    <n v="52.55"/>
    <n v="40.520000000000003"/>
  </r>
  <r>
    <s v="ORD1012"/>
    <x v="11"/>
    <x v="4"/>
    <x v="0"/>
    <x v="3"/>
    <x v="8"/>
    <n v="6"/>
    <n v="19.21"/>
    <n v="8.91"/>
    <n v="115.26"/>
    <n v="106.35000000000001"/>
    <n v="53.46"/>
  </r>
  <r>
    <s v="ORD1013"/>
    <x v="12"/>
    <x v="2"/>
    <x v="0"/>
    <x v="2"/>
    <x v="9"/>
    <n v="5"/>
    <n v="50.43"/>
    <n v="22.28"/>
    <n v="252.15"/>
    <n v="229.87"/>
    <n v="111.4"/>
  </r>
  <r>
    <s v="ORD1014"/>
    <x v="13"/>
    <x v="1"/>
    <x v="1"/>
    <x v="3"/>
    <x v="8"/>
    <n v="6"/>
    <n v="9.3800000000000008"/>
    <n v="4.37"/>
    <n v="56.28"/>
    <n v="51.910000000000004"/>
    <n v="26.22"/>
  </r>
  <r>
    <s v="ORD1015"/>
    <x v="14"/>
    <x v="4"/>
    <x v="2"/>
    <x v="1"/>
    <x v="10"/>
    <n v="2"/>
    <n v="17.190000000000001"/>
    <n v="7.66"/>
    <n v="34.380000000000003"/>
    <n v="26.720000000000002"/>
    <n v="15.32"/>
  </r>
  <r>
    <s v="ORD1016"/>
    <x v="15"/>
    <x v="4"/>
    <x v="1"/>
    <x v="1"/>
    <x v="4"/>
    <n v="7"/>
    <n v="14.94"/>
    <n v="8.65"/>
    <n v="104.58"/>
    <n v="95.929999999999993"/>
    <n v="60.550000000000004"/>
  </r>
  <r>
    <s v="ORD1017"/>
    <x v="16"/>
    <x v="4"/>
    <x v="2"/>
    <x v="2"/>
    <x v="9"/>
    <n v="5"/>
    <n v="61.57"/>
    <n v="38.82"/>
    <n v="307.85000000000002"/>
    <n v="269.03000000000003"/>
    <n v="194.1"/>
  </r>
  <r>
    <s v="ORD1018"/>
    <x v="17"/>
    <x v="2"/>
    <x v="0"/>
    <x v="3"/>
    <x v="5"/>
    <n v="8"/>
    <n v="13.46"/>
    <n v="5.4"/>
    <n v="107.68"/>
    <n v="102.28"/>
    <n v="43.2"/>
  </r>
  <r>
    <s v="ORD1019"/>
    <x v="2"/>
    <x v="4"/>
    <x v="3"/>
    <x v="3"/>
    <x v="7"/>
    <n v="4"/>
    <n v="10.94"/>
    <n v="4.88"/>
    <n v="43.76"/>
    <n v="38.879999999999995"/>
    <n v="19.52"/>
  </r>
  <r>
    <s v="ORD1020"/>
    <x v="18"/>
    <x v="1"/>
    <x v="2"/>
    <x v="1"/>
    <x v="10"/>
    <n v="6"/>
    <n v="27.33"/>
    <n v="14.94"/>
    <n v="163.98"/>
    <n v="149.04"/>
    <n v="89.64"/>
  </r>
  <r>
    <s v="ORD1021"/>
    <x v="19"/>
    <x v="0"/>
    <x v="0"/>
    <x v="0"/>
    <x v="11"/>
    <n v="1"/>
    <n v="23.87"/>
    <n v="11.27"/>
    <n v="23.87"/>
    <n v="12.600000000000001"/>
    <n v="11.27"/>
  </r>
  <r>
    <s v="ORD1022"/>
    <x v="5"/>
    <x v="2"/>
    <x v="2"/>
    <x v="0"/>
    <x v="0"/>
    <n v="3"/>
    <n v="25.34"/>
    <n v="11.11"/>
    <n v="76.02"/>
    <n v="64.91"/>
    <n v="33.33"/>
  </r>
  <r>
    <s v="ORD1023"/>
    <x v="20"/>
    <x v="1"/>
    <x v="1"/>
    <x v="2"/>
    <x v="3"/>
    <n v="4"/>
    <n v="52.88"/>
    <n v="35.89"/>
    <n v="211.52"/>
    <n v="175.63"/>
    <n v="143.56"/>
  </r>
  <r>
    <s v="ORD1024"/>
    <x v="21"/>
    <x v="0"/>
    <x v="1"/>
    <x v="1"/>
    <x v="12"/>
    <n v="8"/>
    <n v="17.28"/>
    <n v="7.54"/>
    <n v="138.24"/>
    <n v="130.70000000000002"/>
    <n v="60.32"/>
  </r>
  <r>
    <s v="ORD1025"/>
    <x v="4"/>
    <x v="4"/>
    <x v="0"/>
    <x v="1"/>
    <x v="13"/>
    <n v="4"/>
    <n v="20.55"/>
    <n v="8.26"/>
    <n v="82.2"/>
    <n v="73.94"/>
    <n v="33.04"/>
  </r>
  <r>
    <s v="ORD1026"/>
    <x v="22"/>
    <x v="4"/>
    <x v="3"/>
    <x v="0"/>
    <x v="14"/>
    <n v="2"/>
    <n v="19.25"/>
    <n v="10.67"/>
    <n v="38.5"/>
    <n v="27.83"/>
    <n v="21.34"/>
  </r>
  <r>
    <s v="ORD1027"/>
    <x v="23"/>
    <x v="1"/>
    <x v="0"/>
    <x v="3"/>
    <x v="8"/>
    <n v="8"/>
    <n v="19.88"/>
    <n v="9.4"/>
    <n v="159.04"/>
    <n v="149.63999999999999"/>
    <n v="75.2"/>
  </r>
  <r>
    <s v="ORD1028"/>
    <x v="24"/>
    <x v="4"/>
    <x v="2"/>
    <x v="2"/>
    <x v="9"/>
    <n v="7"/>
    <n v="57"/>
    <n v="28.86"/>
    <n v="399"/>
    <n v="370.14"/>
    <n v="202.01999999999998"/>
  </r>
  <r>
    <s v="ORD1029"/>
    <x v="25"/>
    <x v="4"/>
    <x v="2"/>
    <x v="2"/>
    <x v="9"/>
    <n v="1"/>
    <n v="58.54"/>
    <n v="30.49"/>
    <n v="58.54"/>
    <n v="28.05"/>
    <n v="30.49"/>
  </r>
  <r>
    <s v="ORD1030"/>
    <x v="26"/>
    <x v="3"/>
    <x v="0"/>
    <x v="3"/>
    <x v="5"/>
    <n v="8"/>
    <n v="14.99"/>
    <n v="6.63"/>
    <n v="119.92"/>
    <n v="113.29"/>
    <n v="53.04"/>
  </r>
  <r>
    <s v="ORD1031"/>
    <x v="27"/>
    <x v="3"/>
    <x v="2"/>
    <x v="1"/>
    <x v="12"/>
    <n v="8"/>
    <n v="29.26"/>
    <n v="18.8"/>
    <n v="234.08"/>
    <n v="215.28"/>
    <n v="150.4"/>
  </r>
  <r>
    <s v="ORD1032"/>
    <x v="28"/>
    <x v="1"/>
    <x v="2"/>
    <x v="0"/>
    <x v="0"/>
    <n v="2"/>
    <n v="24.93"/>
    <n v="16.899999999999999"/>
    <n v="49.86"/>
    <n v="32.96"/>
    <n v="33.799999999999997"/>
  </r>
  <r>
    <s v="ORD1033"/>
    <x v="29"/>
    <x v="2"/>
    <x v="1"/>
    <x v="1"/>
    <x v="2"/>
    <n v="4"/>
    <n v="14.71"/>
    <n v="9.6999999999999993"/>
    <n v="58.84"/>
    <n v="49.14"/>
    <n v="38.799999999999997"/>
  </r>
  <r>
    <s v="ORD1034"/>
    <x v="30"/>
    <x v="4"/>
    <x v="1"/>
    <x v="0"/>
    <x v="14"/>
    <n v="5"/>
    <n v="29.11"/>
    <n v="19.739999999999998"/>
    <n v="145.55000000000001"/>
    <n v="125.81000000000002"/>
    <n v="98.699999999999989"/>
  </r>
  <r>
    <s v="ORD1035"/>
    <x v="31"/>
    <x v="1"/>
    <x v="1"/>
    <x v="2"/>
    <x v="9"/>
    <n v="3"/>
    <n v="53.9"/>
    <n v="24.63"/>
    <n v="161.69999999999999"/>
    <n v="137.07"/>
    <n v="73.89"/>
  </r>
  <r>
    <s v="ORD1036"/>
    <x v="32"/>
    <x v="1"/>
    <x v="2"/>
    <x v="1"/>
    <x v="13"/>
    <n v="6"/>
    <n v="21.04"/>
    <n v="8.7799999999999994"/>
    <n v="126.24"/>
    <n v="117.46"/>
    <n v="52.679999999999993"/>
  </r>
  <r>
    <s v="ORD1037"/>
    <x v="33"/>
    <x v="1"/>
    <x v="2"/>
    <x v="2"/>
    <x v="3"/>
    <n v="3"/>
    <n v="50.2"/>
    <n v="21.11"/>
    <n v="150.60000000000002"/>
    <n v="129.49"/>
    <n v="63.33"/>
  </r>
  <r>
    <s v="ORD1038"/>
    <x v="21"/>
    <x v="4"/>
    <x v="0"/>
    <x v="0"/>
    <x v="14"/>
    <n v="1"/>
    <n v="18.36"/>
    <n v="10.76"/>
    <n v="18.36"/>
    <n v="7.6"/>
    <n v="10.76"/>
  </r>
  <r>
    <s v="ORD1039"/>
    <x v="34"/>
    <x v="0"/>
    <x v="0"/>
    <x v="2"/>
    <x v="9"/>
    <n v="6"/>
    <n v="60.98"/>
    <n v="28.76"/>
    <n v="365.88"/>
    <n v="337.12"/>
    <n v="172.56"/>
  </r>
  <r>
    <s v="ORD1040"/>
    <x v="35"/>
    <x v="0"/>
    <x v="1"/>
    <x v="2"/>
    <x v="3"/>
    <n v="6"/>
    <n v="63.69"/>
    <n v="43.23"/>
    <n v="382.14"/>
    <n v="338.90999999999997"/>
    <n v="259.38"/>
  </r>
  <r>
    <s v="ORD1041"/>
    <x v="36"/>
    <x v="1"/>
    <x v="2"/>
    <x v="0"/>
    <x v="0"/>
    <n v="2"/>
    <n v="25.86"/>
    <n v="14.51"/>
    <n v="51.72"/>
    <n v="37.21"/>
    <n v="29.02"/>
  </r>
  <r>
    <s v="ORD1042"/>
    <x v="34"/>
    <x v="0"/>
    <x v="2"/>
    <x v="3"/>
    <x v="7"/>
    <n v="4"/>
    <n v="17.420000000000002"/>
    <n v="8.9"/>
    <n v="69.680000000000007"/>
    <n v="60.780000000000008"/>
    <n v="35.6"/>
  </r>
  <r>
    <s v="ORD1043"/>
    <x v="37"/>
    <x v="1"/>
    <x v="3"/>
    <x v="1"/>
    <x v="4"/>
    <n v="1"/>
    <n v="18.489999999999998"/>
    <n v="11.1"/>
    <n v="18.489999999999998"/>
    <n v="7.3899999999999988"/>
    <n v="11.1"/>
  </r>
  <r>
    <s v="ORD1044"/>
    <x v="38"/>
    <x v="3"/>
    <x v="3"/>
    <x v="3"/>
    <x v="5"/>
    <n v="2"/>
    <n v="10.61"/>
    <n v="7.08"/>
    <n v="21.22"/>
    <n v="14.139999999999999"/>
    <n v="14.16"/>
  </r>
  <r>
    <s v="ORD1045"/>
    <x v="39"/>
    <x v="1"/>
    <x v="0"/>
    <x v="1"/>
    <x v="12"/>
    <n v="6"/>
    <n v="16.399999999999999"/>
    <n v="7.56"/>
    <n v="98.399999999999991"/>
    <n v="90.839999999999989"/>
    <n v="45.36"/>
  </r>
  <r>
    <s v="ORD1046"/>
    <x v="40"/>
    <x v="4"/>
    <x v="2"/>
    <x v="3"/>
    <x v="8"/>
    <n v="7"/>
    <n v="15.7"/>
    <n v="10.19"/>
    <n v="109.89999999999999"/>
    <n v="99.71"/>
    <n v="71.33"/>
  </r>
  <r>
    <s v="ORD1047"/>
    <x v="41"/>
    <x v="3"/>
    <x v="3"/>
    <x v="0"/>
    <x v="0"/>
    <n v="3"/>
    <n v="30.29"/>
    <n v="18.850000000000001"/>
    <n v="90.87"/>
    <n v="72.02000000000001"/>
    <n v="56.550000000000004"/>
  </r>
  <r>
    <s v="ORD1048"/>
    <x v="42"/>
    <x v="4"/>
    <x v="0"/>
    <x v="2"/>
    <x v="3"/>
    <n v="1"/>
    <n v="61.72"/>
    <n v="40.14"/>
    <n v="61.72"/>
    <n v="21.58"/>
    <n v="40.14"/>
  </r>
  <r>
    <s v="ORD1049"/>
    <x v="43"/>
    <x v="4"/>
    <x v="3"/>
    <x v="1"/>
    <x v="4"/>
    <n v="6"/>
    <n v="11.18"/>
    <n v="7.49"/>
    <n v="67.08"/>
    <n v="59.589999999999996"/>
    <n v="44.94"/>
  </r>
  <r>
    <s v="ORD1050"/>
    <x v="44"/>
    <x v="3"/>
    <x v="2"/>
    <x v="0"/>
    <x v="11"/>
    <n v="6"/>
    <n v="26.62"/>
    <n v="16.88"/>
    <n v="159.72"/>
    <n v="142.84"/>
    <n v="101.28"/>
  </r>
  <r>
    <s v="ORD1051"/>
    <x v="45"/>
    <x v="3"/>
    <x v="0"/>
    <x v="2"/>
    <x v="3"/>
    <n v="3"/>
    <n v="58.07"/>
    <n v="38.58"/>
    <n v="174.21"/>
    <n v="135.63"/>
    <n v="115.74"/>
  </r>
  <r>
    <s v="ORD1052"/>
    <x v="0"/>
    <x v="0"/>
    <x v="1"/>
    <x v="0"/>
    <x v="14"/>
    <n v="4"/>
    <n v="21.62"/>
    <n v="10.38"/>
    <n v="86.48"/>
    <n v="76.100000000000009"/>
    <n v="41.52"/>
  </r>
  <r>
    <s v="ORD1053"/>
    <x v="46"/>
    <x v="4"/>
    <x v="1"/>
    <x v="0"/>
    <x v="15"/>
    <n v="4"/>
    <n v="28.06"/>
    <n v="12.9"/>
    <n v="112.24"/>
    <n v="99.339999999999989"/>
    <n v="51.6"/>
  </r>
  <r>
    <s v="ORD1054"/>
    <x v="47"/>
    <x v="3"/>
    <x v="0"/>
    <x v="2"/>
    <x v="9"/>
    <n v="1"/>
    <n v="65.150000000000006"/>
    <n v="38.96"/>
    <n v="65.150000000000006"/>
    <n v="26.190000000000005"/>
    <n v="38.96"/>
  </r>
  <r>
    <s v="ORD1055"/>
    <x v="48"/>
    <x v="4"/>
    <x v="3"/>
    <x v="2"/>
    <x v="9"/>
    <n v="6"/>
    <n v="64.66"/>
    <n v="38.31"/>
    <n v="387.96"/>
    <n v="349.65"/>
    <n v="229.86"/>
  </r>
  <r>
    <s v="ORD1056"/>
    <x v="38"/>
    <x v="4"/>
    <x v="2"/>
    <x v="2"/>
    <x v="9"/>
    <n v="5"/>
    <n v="55.8"/>
    <n v="25.31"/>
    <n v="279"/>
    <n v="253.69"/>
    <n v="126.55"/>
  </r>
  <r>
    <s v="ORD1057"/>
    <x v="49"/>
    <x v="1"/>
    <x v="1"/>
    <x v="3"/>
    <x v="5"/>
    <n v="6"/>
    <n v="16.45"/>
    <n v="10.18"/>
    <n v="98.699999999999989"/>
    <n v="88.519999999999982"/>
    <n v="61.08"/>
  </r>
  <r>
    <s v="ORD1058"/>
    <x v="50"/>
    <x v="1"/>
    <x v="2"/>
    <x v="3"/>
    <x v="8"/>
    <n v="7"/>
    <n v="19.66"/>
    <n v="13.17"/>
    <n v="137.62"/>
    <n v="124.45"/>
    <n v="92.19"/>
  </r>
  <r>
    <s v="ORD1059"/>
    <x v="51"/>
    <x v="2"/>
    <x v="2"/>
    <x v="1"/>
    <x v="12"/>
    <n v="4"/>
    <n v="24.88"/>
    <n v="12.67"/>
    <n v="99.52"/>
    <n v="86.85"/>
    <n v="50.68"/>
  </r>
  <r>
    <s v="ORD1060"/>
    <x v="52"/>
    <x v="0"/>
    <x v="2"/>
    <x v="0"/>
    <x v="11"/>
    <n v="5"/>
    <n v="22.6"/>
    <n v="12.48"/>
    <n v="113"/>
    <n v="100.52"/>
    <n v="62.400000000000006"/>
  </r>
  <r>
    <s v="ORD1061"/>
    <x v="21"/>
    <x v="0"/>
    <x v="0"/>
    <x v="2"/>
    <x v="9"/>
    <n v="4"/>
    <n v="59.07"/>
    <n v="31.08"/>
    <n v="236.28"/>
    <n v="205.2"/>
    <n v="124.32"/>
  </r>
  <r>
    <s v="ORD1062"/>
    <x v="53"/>
    <x v="1"/>
    <x v="3"/>
    <x v="2"/>
    <x v="3"/>
    <n v="7"/>
    <n v="54.47"/>
    <n v="30.74"/>
    <n v="381.28999999999996"/>
    <n v="350.54999999999995"/>
    <n v="215.17999999999998"/>
  </r>
  <r>
    <s v="ORD1063"/>
    <x v="39"/>
    <x v="3"/>
    <x v="1"/>
    <x v="0"/>
    <x v="11"/>
    <n v="6"/>
    <n v="19.02"/>
    <n v="10.26"/>
    <n v="114.12"/>
    <n v="103.86"/>
    <n v="61.56"/>
  </r>
  <r>
    <s v="ORD1064"/>
    <x v="54"/>
    <x v="2"/>
    <x v="0"/>
    <x v="2"/>
    <x v="3"/>
    <n v="2"/>
    <n v="64.06"/>
    <n v="31.08"/>
    <n v="128.12"/>
    <n v="97.04"/>
    <n v="62.16"/>
  </r>
  <r>
    <s v="ORD1065"/>
    <x v="55"/>
    <x v="3"/>
    <x v="3"/>
    <x v="3"/>
    <x v="5"/>
    <n v="4"/>
    <n v="24.78"/>
    <n v="15.91"/>
    <n v="99.12"/>
    <n v="83.210000000000008"/>
    <n v="63.64"/>
  </r>
  <r>
    <s v="ORD1066"/>
    <x v="51"/>
    <x v="3"/>
    <x v="1"/>
    <x v="1"/>
    <x v="13"/>
    <n v="2"/>
    <n v="19.64"/>
    <n v="10.54"/>
    <n v="39.28"/>
    <n v="28.740000000000002"/>
    <n v="21.08"/>
  </r>
  <r>
    <s v="ORD1067"/>
    <x v="14"/>
    <x v="2"/>
    <x v="0"/>
    <x v="1"/>
    <x v="4"/>
    <n v="3"/>
    <n v="25.02"/>
    <n v="14.93"/>
    <n v="75.06"/>
    <n v="60.13"/>
    <n v="44.79"/>
  </r>
  <r>
    <s v="ORD1068"/>
    <x v="18"/>
    <x v="2"/>
    <x v="0"/>
    <x v="0"/>
    <x v="0"/>
    <n v="3"/>
    <n v="26.81"/>
    <n v="17.190000000000001"/>
    <n v="80.429999999999993"/>
    <n v="63.239999999999995"/>
    <n v="51.570000000000007"/>
  </r>
  <r>
    <s v="ORD1069"/>
    <x v="56"/>
    <x v="3"/>
    <x v="2"/>
    <x v="2"/>
    <x v="3"/>
    <n v="8"/>
    <n v="56.77"/>
    <n v="24.98"/>
    <n v="454.16"/>
    <n v="429.18"/>
    <n v="199.84"/>
  </r>
  <r>
    <s v="ORD1070"/>
    <x v="57"/>
    <x v="2"/>
    <x v="1"/>
    <x v="2"/>
    <x v="9"/>
    <n v="8"/>
    <n v="61.81"/>
    <n v="41.36"/>
    <n v="494.48"/>
    <n v="453.12"/>
    <n v="330.88"/>
  </r>
  <r>
    <s v="ORD1071"/>
    <x v="20"/>
    <x v="3"/>
    <x v="3"/>
    <x v="2"/>
    <x v="9"/>
    <n v="8"/>
    <n v="67.69"/>
    <n v="39.799999999999997"/>
    <n v="541.52"/>
    <n v="501.71999999999997"/>
    <n v="318.39999999999998"/>
  </r>
  <r>
    <s v="ORD1072"/>
    <x v="58"/>
    <x v="0"/>
    <x v="0"/>
    <x v="3"/>
    <x v="8"/>
    <n v="5"/>
    <n v="17.82"/>
    <n v="8.92"/>
    <n v="89.1"/>
    <n v="80.179999999999993"/>
    <n v="44.6"/>
  </r>
  <r>
    <s v="ORD1073"/>
    <x v="59"/>
    <x v="3"/>
    <x v="1"/>
    <x v="0"/>
    <x v="14"/>
    <n v="3"/>
    <n v="32.82"/>
    <n v="20.079999999999998"/>
    <n v="98.460000000000008"/>
    <n v="78.38000000000001"/>
    <n v="60.239999999999995"/>
  </r>
  <r>
    <s v="ORD1074"/>
    <x v="29"/>
    <x v="0"/>
    <x v="1"/>
    <x v="0"/>
    <x v="15"/>
    <n v="7"/>
    <n v="11.9"/>
    <n v="4.9800000000000004"/>
    <n v="83.3"/>
    <n v="78.319999999999993"/>
    <n v="34.86"/>
  </r>
  <r>
    <s v="ORD1075"/>
    <x v="60"/>
    <x v="1"/>
    <x v="2"/>
    <x v="2"/>
    <x v="9"/>
    <n v="7"/>
    <n v="64.11"/>
    <n v="34.82"/>
    <n v="448.77"/>
    <n v="413.95"/>
    <n v="243.74"/>
  </r>
  <r>
    <s v="ORD1076"/>
    <x v="57"/>
    <x v="2"/>
    <x v="1"/>
    <x v="3"/>
    <x v="6"/>
    <n v="4"/>
    <n v="18.440000000000001"/>
    <n v="10.08"/>
    <n v="73.760000000000005"/>
    <n v="63.680000000000007"/>
    <n v="40.32"/>
  </r>
  <r>
    <s v="ORD1077"/>
    <x v="61"/>
    <x v="4"/>
    <x v="1"/>
    <x v="3"/>
    <x v="8"/>
    <n v="6"/>
    <n v="16.5"/>
    <n v="9.91"/>
    <n v="99"/>
    <n v="89.09"/>
    <n v="59.46"/>
  </r>
  <r>
    <s v="ORD1078"/>
    <x v="62"/>
    <x v="2"/>
    <x v="0"/>
    <x v="2"/>
    <x v="3"/>
    <n v="1"/>
    <n v="60.46"/>
    <n v="40.630000000000003"/>
    <n v="60.46"/>
    <n v="19.829999999999998"/>
    <n v="40.630000000000003"/>
  </r>
  <r>
    <s v="ORD1079"/>
    <x v="63"/>
    <x v="2"/>
    <x v="0"/>
    <x v="0"/>
    <x v="0"/>
    <n v="8"/>
    <n v="15.06"/>
    <n v="6.85"/>
    <n v="120.48"/>
    <n v="113.63000000000001"/>
    <n v="54.8"/>
  </r>
  <r>
    <s v="ORD1080"/>
    <x v="64"/>
    <x v="3"/>
    <x v="1"/>
    <x v="3"/>
    <x v="8"/>
    <n v="6"/>
    <n v="16.899999999999999"/>
    <n v="8.4700000000000006"/>
    <n v="101.39999999999999"/>
    <n v="92.929999999999993"/>
    <n v="50.820000000000007"/>
  </r>
  <r>
    <s v="ORD1081"/>
    <x v="57"/>
    <x v="2"/>
    <x v="3"/>
    <x v="2"/>
    <x v="9"/>
    <n v="2"/>
    <n v="61.79"/>
    <n v="33.43"/>
    <n v="123.58"/>
    <n v="90.15"/>
    <n v="66.86"/>
  </r>
  <r>
    <s v="ORD1082"/>
    <x v="65"/>
    <x v="4"/>
    <x v="2"/>
    <x v="0"/>
    <x v="11"/>
    <n v="1"/>
    <n v="32.39"/>
    <n v="22.18"/>
    <n v="32.39"/>
    <n v="10.210000000000001"/>
    <n v="22.18"/>
  </r>
  <r>
    <s v="ORD1083"/>
    <x v="52"/>
    <x v="3"/>
    <x v="0"/>
    <x v="1"/>
    <x v="13"/>
    <n v="3"/>
    <n v="17.41"/>
    <n v="9.44"/>
    <n v="52.230000000000004"/>
    <n v="42.790000000000006"/>
    <n v="28.32"/>
  </r>
  <r>
    <s v="ORD1084"/>
    <x v="23"/>
    <x v="2"/>
    <x v="3"/>
    <x v="0"/>
    <x v="1"/>
    <n v="6"/>
    <n v="20.96"/>
    <n v="9.44"/>
    <n v="125.76"/>
    <n v="116.32000000000001"/>
    <n v="56.64"/>
  </r>
  <r>
    <s v="ORD1085"/>
    <x v="47"/>
    <x v="4"/>
    <x v="2"/>
    <x v="0"/>
    <x v="14"/>
    <n v="5"/>
    <n v="22.49"/>
    <n v="12.88"/>
    <n v="112.44999999999999"/>
    <n v="99.57"/>
    <n v="64.400000000000006"/>
  </r>
  <r>
    <s v="ORD1086"/>
    <x v="38"/>
    <x v="3"/>
    <x v="2"/>
    <x v="2"/>
    <x v="9"/>
    <n v="4"/>
    <n v="64.58"/>
    <n v="27.81"/>
    <n v="258.32"/>
    <n v="230.51"/>
    <n v="111.24"/>
  </r>
  <r>
    <s v="ORD1087"/>
    <x v="66"/>
    <x v="1"/>
    <x v="2"/>
    <x v="3"/>
    <x v="5"/>
    <n v="6"/>
    <n v="19.64"/>
    <n v="10.99"/>
    <n v="117.84"/>
    <n v="106.85000000000001"/>
    <n v="65.94"/>
  </r>
  <r>
    <s v="ORD1088"/>
    <x v="2"/>
    <x v="0"/>
    <x v="2"/>
    <x v="3"/>
    <x v="5"/>
    <n v="7"/>
    <n v="15.35"/>
    <n v="9.93"/>
    <n v="107.45"/>
    <n v="97.52000000000001"/>
    <n v="69.509999999999991"/>
  </r>
  <r>
    <s v="ORD1089"/>
    <x v="67"/>
    <x v="2"/>
    <x v="0"/>
    <x v="0"/>
    <x v="15"/>
    <n v="7"/>
    <n v="27.57"/>
    <n v="12.48"/>
    <n v="192.99"/>
    <n v="180.51000000000002"/>
    <n v="87.36"/>
  </r>
  <r>
    <s v="ORD1090"/>
    <x v="27"/>
    <x v="2"/>
    <x v="3"/>
    <x v="3"/>
    <x v="8"/>
    <n v="6"/>
    <n v="18.489999999999998"/>
    <n v="12.12"/>
    <n v="110.94"/>
    <n v="98.82"/>
    <n v="72.72"/>
  </r>
  <r>
    <s v="ORD1091"/>
    <x v="19"/>
    <x v="2"/>
    <x v="0"/>
    <x v="0"/>
    <x v="11"/>
    <n v="8"/>
    <n v="29.84"/>
    <n v="17.04"/>
    <n v="238.72"/>
    <n v="221.68"/>
    <n v="136.32"/>
  </r>
  <r>
    <s v="ORD1092"/>
    <x v="68"/>
    <x v="2"/>
    <x v="3"/>
    <x v="2"/>
    <x v="9"/>
    <n v="3"/>
    <n v="56.49"/>
    <n v="30.86"/>
    <n v="169.47"/>
    <n v="138.61000000000001"/>
    <n v="92.58"/>
  </r>
  <r>
    <s v="ORD1093"/>
    <x v="4"/>
    <x v="0"/>
    <x v="3"/>
    <x v="3"/>
    <x v="6"/>
    <n v="1"/>
    <n v="16.36"/>
    <n v="9.08"/>
    <n v="16.36"/>
    <n v="7.2799999999999994"/>
    <n v="9.08"/>
  </r>
  <r>
    <s v="ORD1094"/>
    <x v="69"/>
    <x v="2"/>
    <x v="1"/>
    <x v="1"/>
    <x v="13"/>
    <n v="4"/>
    <n v="18.04"/>
    <n v="10.95"/>
    <n v="72.16"/>
    <n v="61.209999999999994"/>
    <n v="43.8"/>
  </r>
  <r>
    <s v="ORD1095"/>
    <x v="66"/>
    <x v="4"/>
    <x v="2"/>
    <x v="2"/>
    <x v="9"/>
    <n v="5"/>
    <n v="52.68"/>
    <n v="24.57"/>
    <n v="263.39999999999998"/>
    <n v="238.82999999999998"/>
    <n v="122.85"/>
  </r>
  <r>
    <s v="ORD1096"/>
    <x v="70"/>
    <x v="1"/>
    <x v="3"/>
    <x v="1"/>
    <x v="12"/>
    <n v="8"/>
    <n v="21.48"/>
    <n v="12.16"/>
    <n v="171.84"/>
    <n v="159.68"/>
    <n v="97.28"/>
  </r>
  <r>
    <s v="ORD1097"/>
    <x v="71"/>
    <x v="1"/>
    <x v="3"/>
    <x v="3"/>
    <x v="8"/>
    <n v="6"/>
    <n v="19.309999999999999"/>
    <n v="11.8"/>
    <n v="115.85999999999999"/>
    <n v="104.05999999999999"/>
    <n v="70.800000000000011"/>
  </r>
  <r>
    <s v="ORD1098"/>
    <x v="40"/>
    <x v="3"/>
    <x v="2"/>
    <x v="3"/>
    <x v="6"/>
    <n v="4"/>
    <n v="18.03"/>
    <n v="8.92"/>
    <n v="72.12"/>
    <n v="63.2"/>
    <n v="35.68"/>
  </r>
  <r>
    <s v="ORD1099"/>
    <x v="23"/>
    <x v="2"/>
    <x v="3"/>
    <x v="1"/>
    <x v="2"/>
    <n v="5"/>
    <n v="18.829999999999998"/>
    <n v="13.07"/>
    <n v="94.149999999999991"/>
    <n v="81.079999999999984"/>
    <n v="65.349999999999994"/>
  </r>
  <r>
    <s v="ORD1100"/>
    <x v="72"/>
    <x v="0"/>
    <x v="0"/>
    <x v="1"/>
    <x v="12"/>
    <n v="5"/>
    <n v="12.92"/>
    <n v="5.22"/>
    <n v="64.599999999999994"/>
    <n v="59.379999999999995"/>
    <n v="26.099999999999998"/>
  </r>
  <r>
    <s v="ORD1101"/>
    <x v="51"/>
    <x v="4"/>
    <x v="3"/>
    <x v="1"/>
    <x v="12"/>
    <n v="3"/>
    <n v="17.899999999999999"/>
    <n v="10.59"/>
    <n v="53.699999999999996"/>
    <n v="43.11"/>
    <n v="31.77"/>
  </r>
  <r>
    <s v="ORD1102"/>
    <x v="46"/>
    <x v="4"/>
    <x v="3"/>
    <x v="2"/>
    <x v="3"/>
    <n v="8"/>
    <n v="58.29"/>
    <n v="31.69"/>
    <n v="466.32"/>
    <n v="434.63"/>
    <n v="253.52"/>
  </r>
  <r>
    <s v="ORD1103"/>
    <x v="73"/>
    <x v="0"/>
    <x v="1"/>
    <x v="3"/>
    <x v="7"/>
    <n v="2"/>
    <n v="13.99"/>
    <n v="9.0500000000000007"/>
    <n v="27.98"/>
    <n v="18.93"/>
    <n v="18.100000000000001"/>
  </r>
  <r>
    <s v="ORD1104"/>
    <x v="58"/>
    <x v="1"/>
    <x v="2"/>
    <x v="2"/>
    <x v="9"/>
    <n v="3"/>
    <n v="59.19"/>
    <n v="26.33"/>
    <n v="177.57"/>
    <n v="151.24"/>
    <n v="78.989999999999995"/>
  </r>
  <r>
    <s v="ORD1105"/>
    <x v="26"/>
    <x v="4"/>
    <x v="1"/>
    <x v="3"/>
    <x v="5"/>
    <n v="4"/>
    <n v="20.02"/>
    <n v="12.67"/>
    <n v="80.08"/>
    <n v="67.41"/>
    <n v="50.68"/>
  </r>
  <r>
    <s v="ORD1106"/>
    <x v="74"/>
    <x v="2"/>
    <x v="3"/>
    <x v="2"/>
    <x v="9"/>
    <n v="7"/>
    <n v="69.430000000000007"/>
    <n v="34.130000000000003"/>
    <n v="486.01000000000005"/>
    <n v="451.88000000000005"/>
    <n v="238.91000000000003"/>
  </r>
  <r>
    <s v="ORD1107"/>
    <x v="0"/>
    <x v="4"/>
    <x v="0"/>
    <x v="0"/>
    <x v="1"/>
    <n v="4"/>
    <n v="25.87"/>
    <n v="12.4"/>
    <n v="103.48"/>
    <n v="91.08"/>
    <n v="49.6"/>
  </r>
  <r>
    <s v="ORD1108"/>
    <x v="69"/>
    <x v="3"/>
    <x v="2"/>
    <x v="0"/>
    <x v="14"/>
    <n v="3"/>
    <n v="26.29"/>
    <n v="10.54"/>
    <n v="78.87"/>
    <n v="68.330000000000013"/>
    <n v="31.619999999999997"/>
  </r>
  <r>
    <s v="ORD1109"/>
    <x v="17"/>
    <x v="4"/>
    <x v="0"/>
    <x v="2"/>
    <x v="9"/>
    <n v="5"/>
    <n v="59.63"/>
    <n v="36.5"/>
    <n v="298.15000000000003"/>
    <n v="261.65000000000003"/>
    <n v="182.5"/>
  </r>
  <r>
    <s v="ORD1110"/>
    <x v="10"/>
    <x v="3"/>
    <x v="3"/>
    <x v="2"/>
    <x v="3"/>
    <n v="4"/>
    <n v="50.41"/>
    <n v="26.59"/>
    <n v="201.64"/>
    <n v="175.04999999999998"/>
    <n v="106.36"/>
  </r>
  <r>
    <s v="ORD1111"/>
    <x v="74"/>
    <x v="0"/>
    <x v="0"/>
    <x v="1"/>
    <x v="2"/>
    <n v="2"/>
    <n v="19.87"/>
    <n v="8.3000000000000007"/>
    <n v="39.74"/>
    <n v="31.44"/>
    <n v="16.600000000000001"/>
  </r>
  <r>
    <s v="ORD1112"/>
    <x v="75"/>
    <x v="4"/>
    <x v="1"/>
    <x v="3"/>
    <x v="6"/>
    <n v="5"/>
    <n v="18.3"/>
    <n v="11.16"/>
    <n v="91.5"/>
    <n v="80.34"/>
    <n v="55.8"/>
  </r>
  <r>
    <s v="ORD1113"/>
    <x v="75"/>
    <x v="4"/>
    <x v="2"/>
    <x v="3"/>
    <x v="8"/>
    <n v="7"/>
    <n v="30.32"/>
    <n v="18.809999999999999"/>
    <n v="212.24"/>
    <n v="193.43"/>
    <n v="131.66999999999999"/>
  </r>
  <r>
    <s v="ORD1114"/>
    <x v="1"/>
    <x v="3"/>
    <x v="2"/>
    <x v="3"/>
    <x v="5"/>
    <n v="5"/>
    <n v="17.04"/>
    <n v="9.76"/>
    <n v="85.199999999999989"/>
    <n v="75.439999999999984"/>
    <n v="48.8"/>
  </r>
  <r>
    <s v="ORD1115"/>
    <x v="76"/>
    <x v="2"/>
    <x v="3"/>
    <x v="1"/>
    <x v="4"/>
    <n v="3"/>
    <n v="21.51"/>
    <n v="15.04"/>
    <n v="64.53"/>
    <n v="49.49"/>
    <n v="45.12"/>
  </r>
  <r>
    <s v="ORD1116"/>
    <x v="1"/>
    <x v="2"/>
    <x v="3"/>
    <x v="2"/>
    <x v="9"/>
    <n v="7"/>
    <n v="59.83"/>
    <n v="29.91"/>
    <n v="418.81"/>
    <n v="388.9"/>
    <n v="209.37"/>
  </r>
  <r>
    <s v="ORD1117"/>
    <x v="41"/>
    <x v="2"/>
    <x v="1"/>
    <x v="0"/>
    <x v="14"/>
    <n v="5"/>
    <n v="19.16"/>
    <n v="11.47"/>
    <n v="95.8"/>
    <n v="84.33"/>
    <n v="57.35"/>
  </r>
  <r>
    <s v="ORD1118"/>
    <x v="36"/>
    <x v="4"/>
    <x v="3"/>
    <x v="2"/>
    <x v="3"/>
    <n v="5"/>
    <n v="65.709999999999994"/>
    <n v="32.659999999999997"/>
    <n v="328.54999999999995"/>
    <n v="295.89"/>
    <n v="163.29999999999998"/>
  </r>
  <r>
    <s v="ORD1119"/>
    <x v="70"/>
    <x v="1"/>
    <x v="1"/>
    <x v="2"/>
    <x v="3"/>
    <n v="7"/>
    <n v="63.76"/>
    <n v="26.54"/>
    <n v="446.32"/>
    <n v="419.78"/>
    <n v="185.78"/>
  </r>
  <r>
    <s v="ORD1120"/>
    <x v="77"/>
    <x v="2"/>
    <x v="2"/>
    <x v="3"/>
    <x v="8"/>
    <n v="4"/>
    <n v="21.96"/>
    <n v="10.54"/>
    <n v="87.84"/>
    <n v="77.300000000000011"/>
    <n v="42.16"/>
  </r>
  <r>
    <s v="ORD1121"/>
    <x v="75"/>
    <x v="2"/>
    <x v="2"/>
    <x v="1"/>
    <x v="12"/>
    <n v="1"/>
    <n v="15.45"/>
    <n v="10.69"/>
    <n v="15.45"/>
    <n v="4.76"/>
    <n v="10.69"/>
  </r>
  <r>
    <s v="ORD1122"/>
    <x v="47"/>
    <x v="1"/>
    <x v="2"/>
    <x v="1"/>
    <x v="2"/>
    <n v="7"/>
    <n v="27.01"/>
    <n v="11.56"/>
    <n v="189.07000000000002"/>
    <n v="177.51000000000002"/>
    <n v="80.92"/>
  </r>
  <r>
    <s v="ORD1123"/>
    <x v="78"/>
    <x v="3"/>
    <x v="1"/>
    <x v="0"/>
    <x v="15"/>
    <n v="5"/>
    <n v="17.989999999999998"/>
    <n v="9.94"/>
    <n v="89.949999999999989"/>
    <n v="80.009999999999991"/>
    <n v="49.699999999999996"/>
  </r>
  <r>
    <s v="ORD1124"/>
    <x v="37"/>
    <x v="2"/>
    <x v="1"/>
    <x v="3"/>
    <x v="8"/>
    <n v="4"/>
    <n v="20.93"/>
    <n v="11.24"/>
    <n v="83.72"/>
    <n v="72.48"/>
    <n v="44.96"/>
  </r>
  <r>
    <s v="ORD1125"/>
    <x v="24"/>
    <x v="1"/>
    <x v="0"/>
    <x v="1"/>
    <x v="4"/>
    <n v="2"/>
    <n v="30.95"/>
    <n v="14.94"/>
    <n v="61.9"/>
    <n v="46.96"/>
    <n v="29.88"/>
  </r>
  <r>
    <s v="ORD1126"/>
    <x v="34"/>
    <x v="1"/>
    <x v="3"/>
    <x v="2"/>
    <x v="9"/>
    <n v="1"/>
    <n v="55.05"/>
    <n v="26.69"/>
    <n v="55.05"/>
    <n v="28.359999999999996"/>
    <n v="26.69"/>
  </r>
  <r>
    <s v="ORD1127"/>
    <x v="25"/>
    <x v="3"/>
    <x v="1"/>
    <x v="3"/>
    <x v="8"/>
    <n v="8"/>
    <n v="15.17"/>
    <n v="7.64"/>
    <n v="121.36"/>
    <n v="113.72"/>
    <n v="61.12"/>
  </r>
  <r>
    <s v="ORD1128"/>
    <x v="34"/>
    <x v="0"/>
    <x v="0"/>
    <x v="2"/>
    <x v="9"/>
    <n v="4"/>
    <n v="60.5"/>
    <n v="34.58"/>
    <n v="242"/>
    <n v="207.42000000000002"/>
    <n v="138.32"/>
  </r>
  <r>
    <s v="ORD1129"/>
    <x v="51"/>
    <x v="0"/>
    <x v="1"/>
    <x v="1"/>
    <x v="4"/>
    <n v="7"/>
    <n v="17.48"/>
    <n v="9.02"/>
    <n v="122.36"/>
    <n v="113.34"/>
    <n v="63.14"/>
  </r>
  <r>
    <s v="ORD1130"/>
    <x v="79"/>
    <x v="3"/>
    <x v="3"/>
    <x v="1"/>
    <x v="4"/>
    <n v="2"/>
    <n v="12.25"/>
    <n v="8.11"/>
    <n v="24.5"/>
    <n v="16.39"/>
    <n v="16.22"/>
  </r>
  <r>
    <s v="ORD1131"/>
    <x v="80"/>
    <x v="2"/>
    <x v="2"/>
    <x v="2"/>
    <x v="3"/>
    <n v="3"/>
    <n v="60.34"/>
    <n v="31.56"/>
    <n v="181.02"/>
    <n v="149.46"/>
    <n v="94.679999999999993"/>
  </r>
  <r>
    <s v="ORD1132"/>
    <x v="81"/>
    <x v="0"/>
    <x v="3"/>
    <x v="1"/>
    <x v="13"/>
    <n v="7"/>
    <n v="14.69"/>
    <n v="8.74"/>
    <n v="102.83"/>
    <n v="94.09"/>
    <n v="61.18"/>
  </r>
  <r>
    <s v="ORD1133"/>
    <x v="82"/>
    <x v="2"/>
    <x v="2"/>
    <x v="3"/>
    <x v="8"/>
    <n v="2"/>
    <n v="20.37"/>
    <n v="9.58"/>
    <n v="40.74"/>
    <n v="31.160000000000004"/>
    <n v="19.16"/>
  </r>
  <r>
    <s v="ORD1134"/>
    <x v="71"/>
    <x v="4"/>
    <x v="1"/>
    <x v="3"/>
    <x v="7"/>
    <n v="2"/>
    <n v="13.4"/>
    <n v="8.42"/>
    <n v="26.8"/>
    <n v="18.380000000000003"/>
    <n v="16.84"/>
  </r>
  <r>
    <s v="ORD1135"/>
    <x v="83"/>
    <x v="0"/>
    <x v="2"/>
    <x v="0"/>
    <x v="15"/>
    <n v="1"/>
    <n v="32.75"/>
    <n v="16.29"/>
    <n v="32.75"/>
    <n v="16.46"/>
    <n v="16.29"/>
  </r>
  <r>
    <s v="ORD1136"/>
    <x v="84"/>
    <x v="0"/>
    <x v="1"/>
    <x v="0"/>
    <x v="11"/>
    <n v="3"/>
    <n v="21.08"/>
    <n v="9.98"/>
    <n v="63.239999999999995"/>
    <n v="53.259999999999991"/>
    <n v="29.94"/>
  </r>
  <r>
    <s v="ORD1137"/>
    <x v="83"/>
    <x v="3"/>
    <x v="2"/>
    <x v="2"/>
    <x v="3"/>
    <n v="7"/>
    <n v="58.39"/>
    <n v="34.21"/>
    <n v="408.73"/>
    <n v="374.52000000000004"/>
    <n v="239.47"/>
  </r>
  <r>
    <s v="ORD1138"/>
    <x v="74"/>
    <x v="1"/>
    <x v="0"/>
    <x v="1"/>
    <x v="4"/>
    <n v="4"/>
    <n v="24.07"/>
    <n v="12.96"/>
    <n v="96.28"/>
    <n v="83.32"/>
    <n v="51.84"/>
  </r>
  <r>
    <s v="ORD1139"/>
    <x v="40"/>
    <x v="4"/>
    <x v="1"/>
    <x v="3"/>
    <x v="8"/>
    <n v="5"/>
    <n v="11.85"/>
    <n v="7.15"/>
    <n v="59.25"/>
    <n v="52.1"/>
    <n v="35.75"/>
  </r>
  <r>
    <s v="ORD1140"/>
    <x v="75"/>
    <x v="0"/>
    <x v="3"/>
    <x v="1"/>
    <x v="13"/>
    <n v="7"/>
    <n v="21.14"/>
    <n v="12.83"/>
    <n v="147.98000000000002"/>
    <n v="135.15"/>
    <n v="89.81"/>
  </r>
  <r>
    <s v="ORD1141"/>
    <x v="85"/>
    <x v="2"/>
    <x v="1"/>
    <x v="2"/>
    <x v="9"/>
    <n v="2"/>
    <n v="66.540000000000006"/>
    <n v="31.35"/>
    <n v="133.08000000000001"/>
    <n v="101.73000000000002"/>
    <n v="62.7"/>
  </r>
  <r>
    <s v="ORD1142"/>
    <x v="86"/>
    <x v="0"/>
    <x v="2"/>
    <x v="3"/>
    <x v="6"/>
    <n v="7"/>
    <n v="9.9600000000000009"/>
    <n v="4.8"/>
    <n v="69.72"/>
    <n v="64.92"/>
    <n v="33.6"/>
  </r>
  <r>
    <s v="ORD1143"/>
    <x v="71"/>
    <x v="2"/>
    <x v="3"/>
    <x v="0"/>
    <x v="1"/>
    <n v="4"/>
    <n v="25.92"/>
    <n v="15.09"/>
    <n v="103.68"/>
    <n v="88.59"/>
    <n v="60.36"/>
  </r>
  <r>
    <s v="ORD1144"/>
    <x v="9"/>
    <x v="3"/>
    <x v="3"/>
    <x v="3"/>
    <x v="7"/>
    <n v="3"/>
    <n v="19.3"/>
    <n v="11.36"/>
    <n v="57.900000000000006"/>
    <n v="46.540000000000006"/>
    <n v="34.08"/>
  </r>
  <r>
    <s v="ORD1145"/>
    <x v="87"/>
    <x v="2"/>
    <x v="2"/>
    <x v="0"/>
    <x v="11"/>
    <n v="6"/>
    <n v="28.91"/>
    <n v="17.920000000000002"/>
    <n v="173.46"/>
    <n v="155.54000000000002"/>
    <n v="107.52000000000001"/>
  </r>
  <r>
    <s v="ORD1146"/>
    <x v="64"/>
    <x v="2"/>
    <x v="0"/>
    <x v="0"/>
    <x v="11"/>
    <n v="4"/>
    <n v="18.82"/>
    <n v="8.27"/>
    <n v="75.28"/>
    <n v="67.010000000000005"/>
    <n v="33.08"/>
  </r>
  <r>
    <s v="ORD1147"/>
    <x v="37"/>
    <x v="3"/>
    <x v="3"/>
    <x v="3"/>
    <x v="6"/>
    <n v="8"/>
    <n v="11.4"/>
    <n v="7.87"/>
    <n v="91.2"/>
    <n v="83.33"/>
    <n v="62.96"/>
  </r>
  <r>
    <s v="ORD1148"/>
    <x v="88"/>
    <x v="4"/>
    <x v="1"/>
    <x v="3"/>
    <x v="6"/>
    <n v="2"/>
    <n v="20.61"/>
    <n v="9.11"/>
    <n v="41.22"/>
    <n v="32.11"/>
    <n v="18.22"/>
  </r>
  <r>
    <s v="ORD1149"/>
    <x v="89"/>
    <x v="1"/>
    <x v="3"/>
    <x v="1"/>
    <x v="4"/>
    <n v="2"/>
    <n v="21.48"/>
    <n v="13.69"/>
    <n v="42.96"/>
    <n v="29.270000000000003"/>
    <n v="27.38"/>
  </r>
  <r>
    <s v="ORD1150"/>
    <x v="90"/>
    <x v="4"/>
    <x v="1"/>
    <x v="0"/>
    <x v="11"/>
    <n v="6"/>
    <n v="26.25"/>
    <n v="15.8"/>
    <n v="157.5"/>
    <n v="141.69999999999999"/>
    <n v="94.800000000000011"/>
  </r>
  <r>
    <s v="ORD1151"/>
    <x v="91"/>
    <x v="0"/>
    <x v="2"/>
    <x v="3"/>
    <x v="8"/>
    <n v="4"/>
    <n v="19.73"/>
    <n v="10.68"/>
    <n v="78.92"/>
    <n v="68.240000000000009"/>
    <n v="42.72"/>
  </r>
  <r>
    <s v="ORD1152"/>
    <x v="63"/>
    <x v="4"/>
    <x v="1"/>
    <x v="3"/>
    <x v="7"/>
    <n v="5"/>
    <n v="14.6"/>
    <n v="8.68"/>
    <n v="73"/>
    <n v="64.319999999999993"/>
    <n v="43.4"/>
  </r>
  <r>
    <s v="ORD1153"/>
    <x v="51"/>
    <x v="4"/>
    <x v="3"/>
    <x v="0"/>
    <x v="14"/>
    <n v="8"/>
    <n v="26.16"/>
    <n v="11.38"/>
    <n v="209.28"/>
    <n v="197.9"/>
    <n v="91.04"/>
  </r>
  <r>
    <s v="ORD1154"/>
    <x v="92"/>
    <x v="2"/>
    <x v="1"/>
    <x v="1"/>
    <x v="10"/>
    <n v="6"/>
    <n v="21.47"/>
    <n v="12.91"/>
    <n v="128.82"/>
    <n v="115.91"/>
    <n v="77.460000000000008"/>
  </r>
  <r>
    <s v="ORD1155"/>
    <x v="12"/>
    <x v="2"/>
    <x v="2"/>
    <x v="2"/>
    <x v="3"/>
    <n v="8"/>
    <n v="56.43"/>
    <n v="32.99"/>
    <n v="451.44"/>
    <n v="418.45"/>
    <n v="263.92"/>
  </r>
  <r>
    <s v="ORD1156"/>
    <x v="93"/>
    <x v="0"/>
    <x v="0"/>
    <x v="3"/>
    <x v="5"/>
    <n v="8"/>
    <n v="27.33"/>
    <n v="14.58"/>
    <n v="218.64"/>
    <n v="204.05999999999997"/>
    <n v="116.64"/>
  </r>
  <r>
    <s v="ORD1157"/>
    <x v="94"/>
    <x v="0"/>
    <x v="3"/>
    <x v="1"/>
    <x v="12"/>
    <n v="1"/>
    <n v="22.37"/>
    <n v="11.62"/>
    <n v="22.37"/>
    <n v="10.750000000000002"/>
    <n v="11.62"/>
  </r>
  <r>
    <s v="ORD1158"/>
    <x v="89"/>
    <x v="2"/>
    <x v="2"/>
    <x v="1"/>
    <x v="13"/>
    <n v="4"/>
    <n v="14.04"/>
    <n v="8.32"/>
    <n v="56.16"/>
    <n v="47.839999999999996"/>
    <n v="33.28"/>
  </r>
  <r>
    <s v="ORD1159"/>
    <x v="87"/>
    <x v="0"/>
    <x v="0"/>
    <x v="0"/>
    <x v="0"/>
    <n v="3"/>
    <n v="28.28"/>
    <n v="17.989999999999998"/>
    <n v="84.84"/>
    <n v="66.850000000000009"/>
    <n v="53.97"/>
  </r>
  <r>
    <s v="ORD1160"/>
    <x v="37"/>
    <x v="1"/>
    <x v="0"/>
    <x v="1"/>
    <x v="13"/>
    <n v="4"/>
    <n v="15.13"/>
    <n v="9.74"/>
    <n v="60.52"/>
    <n v="50.78"/>
    <n v="38.96"/>
  </r>
  <r>
    <s v="ORD1161"/>
    <x v="18"/>
    <x v="3"/>
    <x v="2"/>
    <x v="1"/>
    <x v="12"/>
    <n v="5"/>
    <n v="23.94"/>
    <n v="15.74"/>
    <n v="119.7"/>
    <n v="103.96000000000001"/>
    <n v="78.7"/>
  </r>
  <r>
    <s v="ORD1162"/>
    <x v="95"/>
    <x v="0"/>
    <x v="0"/>
    <x v="1"/>
    <x v="2"/>
    <n v="2"/>
    <n v="25.79"/>
    <n v="15.43"/>
    <n v="51.58"/>
    <n v="36.15"/>
    <n v="30.86"/>
  </r>
  <r>
    <s v="ORD1163"/>
    <x v="96"/>
    <x v="0"/>
    <x v="0"/>
    <x v="0"/>
    <x v="14"/>
    <n v="6"/>
    <n v="20.9"/>
    <n v="8.4600000000000009"/>
    <n v="125.39999999999999"/>
    <n v="116.94"/>
    <n v="50.760000000000005"/>
  </r>
  <r>
    <s v="ORD1164"/>
    <x v="43"/>
    <x v="2"/>
    <x v="2"/>
    <x v="3"/>
    <x v="5"/>
    <n v="2"/>
    <n v="22.82"/>
    <n v="12.39"/>
    <n v="45.64"/>
    <n v="33.25"/>
    <n v="24.78"/>
  </r>
  <r>
    <s v="ORD1165"/>
    <x v="3"/>
    <x v="1"/>
    <x v="0"/>
    <x v="3"/>
    <x v="5"/>
    <n v="1"/>
    <n v="20.059999999999999"/>
    <n v="12.4"/>
    <n v="20.059999999999999"/>
    <n v="7.6599999999999984"/>
    <n v="12.4"/>
  </r>
  <r>
    <s v="ORD1166"/>
    <x v="63"/>
    <x v="4"/>
    <x v="2"/>
    <x v="3"/>
    <x v="8"/>
    <n v="8"/>
    <n v="22.11"/>
    <n v="14.46"/>
    <n v="176.88"/>
    <n v="162.41999999999999"/>
    <n v="115.68"/>
  </r>
  <r>
    <s v="ORD1167"/>
    <x v="61"/>
    <x v="2"/>
    <x v="2"/>
    <x v="2"/>
    <x v="3"/>
    <n v="2"/>
    <n v="69.48"/>
    <n v="34.51"/>
    <n v="138.96"/>
    <n v="104.45000000000002"/>
    <n v="69.02"/>
  </r>
  <r>
    <s v="ORD1168"/>
    <x v="43"/>
    <x v="0"/>
    <x v="3"/>
    <x v="1"/>
    <x v="13"/>
    <n v="7"/>
    <n v="18.77"/>
    <n v="13.11"/>
    <n v="131.38999999999999"/>
    <n v="118.27999999999999"/>
    <n v="91.77"/>
  </r>
  <r>
    <s v="ORD1169"/>
    <x v="2"/>
    <x v="1"/>
    <x v="1"/>
    <x v="3"/>
    <x v="8"/>
    <n v="2"/>
    <n v="14.23"/>
    <n v="9.08"/>
    <n v="28.46"/>
    <n v="19.380000000000003"/>
    <n v="18.16"/>
  </r>
  <r>
    <s v="ORD1170"/>
    <x v="97"/>
    <x v="3"/>
    <x v="1"/>
    <x v="0"/>
    <x v="1"/>
    <n v="8"/>
    <n v="20.55"/>
    <n v="13.7"/>
    <n v="164.4"/>
    <n v="150.70000000000002"/>
    <n v="109.6"/>
  </r>
  <r>
    <s v="ORD1171"/>
    <x v="91"/>
    <x v="2"/>
    <x v="1"/>
    <x v="2"/>
    <x v="9"/>
    <n v="7"/>
    <n v="55.92"/>
    <n v="34.61"/>
    <n v="391.44"/>
    <n v="356.83"/>
    <n v="242.26999999999998"/>
  </r>
  <r>
    <s v="ORD1172"/>
    <x v="82"/>
    <x v="0"/>
    <x v="3"/>
    <x v="3"/>
    <x v="8"/>
    <n v="3"/>
    <n v="17.61"/>
    <n v="10.67"/>
    <n v="52.83"/>
    <n v="42.16"/>
    <n v="32.01"/>
  </r>
  <r>
    <s v="ORD1173"/>
    <x v="1"/>
    <x v="4"/>
    <x v="2"/>
    <x v="2"/>
    <x v="3"/>
    <n v="7"/>
    <n v="61.71"/>
    <n v="26.47"/>
    <n v="431.97"/>
    <n v="405.5"/>
    <n v="185.29"/>
  </r>
  <r>
    <s v="ORD1174"/>
    <x v="56"/>
    <x v="4"/>
    <x v="3"/>
    <x v="3"/>
    <x v="7"/>
    <n v="2"/>
    <n v="19.38"/>
    <n v="10.14"/>
    <n v="38.76"/>
    <n v="28.619999999999997"/>
    <n v="20.28"/>
  </r>
  <r>
    <s v="ORD1175"/>
    <x v="39"/>
    <x v="1"/>
    <x v="3"/>
    <x v="2"/>
    <x v="3"/>
    <n v="6"/>
    <n v="64.14"/>
    <n v="27.65"/>
    <n v="384.84000000000003"/>
    <n v="357.19000000000005"/>
    <n v="165.89999999999998"/>
  </r>
  <r>
    <s v="ORD1176"/>
    <x v="70"/>
    <x v="2"/>
    <x v="0"/>
    <x v="1"/>
    <x v="2"/>
    <n v="2"/>
    <n v="20.07"/>
    <n v="10.14"/>
    <n v="40.14"/>
    <n v="30"/>
    <n v="20.28"/>
  </r>
  <r>
    <s v="ORD1177"/>
    <x v="98"/>
    <x v="0"/>
    <x v="0"/>
    <x v="3"/>
    <x v="5"/>
    <n v="7"/>
    <n v="25.27"/>
    <n v="16.52"/>
    <n v="176.89"/>
    <n v="160.36999999999998"/>
    <n v="115.64"/>
  </r>
  <r>
    <s v="ORD1178"/>
    <x v="45"/>
    <x v="0"/>
    <x v="2"/>
    <x v="0"/>
    <x v="1"/>
    <n v="3"/>
    <n v="23.68"/>
    <n v="11.41"/>
    <n v="71.039999999999992"/>
    <n v="59.629999999999995"/>
    <n v="34.230000000000004"/>
  </r>
  <r>
    <s v="ORD1179"/>
    <x v="99"/>
    <x v="4"/>
    <x v="0"/>
    <x v="3"/>
    <x v="6"/>
    <n v="3"/>
    <n v="31.6"/>
    <n v="18.010000000000002"/>
    <n v="94.800000000000011"/>
    <n v="76.790000000000006"/>
    <n v="54.03"/>
  </r>
  <r>
    <s v="ORD1180"/>
    <x v="100"/>
    <x v="4"/>
    <x v="2"/>
    <x v="2"/>
    <x v="3"/>
    <n v="4"/>
    <n v="63.13"/>
    <n v="32.380000000000003"/>
    <n v="252.52"/>
    <n v="220.14000000000001"/>
    <n v="129.52000000000001"/>
  </r>
  <r>
    <s v="ORD1181"/>
    <x v="101"/>
    <x v="0"/>
    <x v="3"/>
    <x v="2"/>
    <x v="9"/>
    <n v="6"/>
    <n v="55.71"/>
    <n v="35.270000000000003"/>
    <n v="334.26"/>
    <n v="298.99"/>
    <n v="211.62"/>
  </r>
  <r>
    <s v="ORD1182"/>
    <x v="59"/>
    <x v="3"/>
    <x v="2"/>
    <x v="0"/>
    <x v="0"/>
    <n v="2"/>
    <n v="19.649999999999999"/>
    <n v="9.4600000000000009"/>
    <n v="39.299999999999997"/>
    <n v="29.839999999999996"/>
    <n v="18.920000000000002"/>
  </r>
  <r>
    <s v="ORD1183"/>
    <x v="50"/>
    <x v="2"/>
    <x v="1"/>
    <x v="2"/>
    <x v="9"/>
    <n v="5"/>
    <n v="62.41"/>
    <n v="29"/>
    <n v="312.04999999999995"/>
    <n v="283.04999999999995"/>
    <n v="145"/>
  </r>
  <r>
    <s v="ORD1184"/>
    <x v="102"/>
    <x v="4"/>
    <x v="3"/>
    <x v="0"/>
    <x v="11"/>
    <n v="8"/>
    <n v="23.88"/>
    <n v="13.33"/>
    <n v="191.04"/>
    <n v="177.70999999999998"/>
    <n v="106.64"/>
  </r>
  <r>
    <s v="ORD1185"/>
    <x v="65"/>
    <x v="2"/>
    <x v="2"/>
    <x v="3"/>
    <x v="5"/>
    <n v="1"/>
    <n v="21.57"/>
    <n v="9.9499999999999993"/>
    <n v="21.57"/>
    <n v="11.620000000000001"/>
    <n v="9.9499999999999993"/>
  </r>
  <r>
    <s v="ORD1186"/>
    <x v="98"/>
    <x v="0"/>
    <x v="3"/>
    <x v="1"/>
    <x v="2"/>
    <n v="6"/>
    <n v="22.37"/>
    <n v="9.75"/>
    <n v="134.22"/>
    <n v="124.47"/>
    <n v="58.5"/>
  </r>
  <r>
    <s v="ORD1187"/>
    <x v="103"/>
    <x v="3"/>
    <x v="1"/>
    <x v="2"/>
    <x v="9"/>
    <n v="4"/>
    <n v="59.64"/>
    <n v="32.81"/>
    <n v="238.56"/>
    <n v="205.75"/>
    <n v="131.24"/>
  </r>
  <r>
    <s v="ORD1188"/>
    <x v="104"/>
    <x v="4"/>
    <x v="1"/>
    <x v="3"/>
    <x v="5"/>
    <n v="1"/>
    <n v="13.77"/>
    <n v="7.41"/>
    <n v="13.77"/>
    <n v="6.3599999999999994"/>
    <n v="7.41"/>
  </r>
  <r>
    <s v="ORD1189"/>
    <x v="6"/>
    <x v="2"/>
    <x v="1"/>
    <x v="0"/>
    <x v="11"/>
    <n v="7"/>
    <n v="17.43"/>
    <n v="8.49"/>
    <n v="122.00999999999999"/>
    <n v="113.52"/>
    <n v="59.43"/>
  </r>
  <r>
    <s v="ORD1190"/>
    <x v="64"/>
    <x v="3"/>
    <x v="1"/>
    <x v="2"/>
    <x v="3"/>
    <n v="6"/>
    <n v="57.77"/>
    <n v="24.64"/>
    <n v="346.62"/>
    <n v="321.98"/>
    <n v="147.84"/>
  </r>
  <r>
    <s v="ORD1191"/>
    <x v="102"/>
    <x v="1"/>
    <x v="1"/>
    <x v="0"/>
    <x v="14"/>
    <n v="2"/>
    <n v="29.28"/>
    <n v="15.19"/>
    <n v="58.56"/>
    <n v="43.370000000000005"/>
    <n v="30.38"/>
  </r>
  <r>
    <s v="ORD1192"/>
    <x v="65"/>
    <x v="0"/>
    <x v="0"/>
    <x v="3"/>
    <x v="6"/>
    <n v="2"/>
    <n v="19.07"/>
    <n v="10.55"/>
    <n v="38.14"/>
    <n v="27.59"/>
    <n v="21.1"/>
  </r>
  <r>
    <s v="ORD1193"/>
    <x v="54"/>
    <x v="3"/>
    <x v="3"/>
    <x v="0"/>
    <x v="1"/>
    <n v="6"/>
    <n v="18.77"/>
    <n v="11.6"/>
    <n v="112.62"/>
    <n v="101.02000000000001"/>
    <n v="69.599999999999994"/>
  </r>
  <r>
    <s v="ORD1194"/>
    <x v="49"/>
    <x v="3"/>
    <x v="3"/>
    <x v="1"/>
    <x v="2"/>
    <n v="4"/>
    <n v="20.87"/>
    <n v="9.43"/>
    <n v="83.48"/>
    <n v="74.050000000000011"/>
    <n v="37.72"/>
  </r>
  <r>
    <s v="ORD1195"/>
    <x v="103"/>
    <x v="2"/>
    <x v="1"/>
    <x v="1"/>
    <x v="13"/>
    <n v="8"/>
    <n v="21.93"/>
    <n v="13.25"/>
    <n v="175.44"/>
    <n v="162.19"/>
    <n v="106"/>
  </r>
  <r>
    <s v="ORD1196"/>
    <x v="59"/>
    <x v="2"/>
    <x v="2"/>
    <x v="3"/>
    <x v="6"/>
    <n v="8"/>
    <n v="13.58"/>
    <n v="7.23"/>
    <n v="108.64"/>
    <n v="101.41"/>
    <n v="57.84"/>
  </r>
  <r>
    <s v="ORD1197"/>
    <x v="105"/>
    <x v="4"/>
    <x v="3"/>
    <x v="3"/>
    <x v="6"/>
    <n v="2"/>
    <n v="18.77"/>
    <n v="9.26"/>
    <n v="37.54"/>
    <n v="28.28"/>
    <n v="18.52"/>
  </r>
  <r>
    <s v="ORD1198"/>
    <x v="33"/>
    <x v="0"/>
    <x v="3"/>
    <x v="2"/>
    <x v="3"/>
    <n v="2"/>
    <n v="60.29"/>
    <n v="35.78"/>
    <n v="120.58"/>
    <n v="84.8"/>
    <n v="71.56"/>
  </r>
  <r>
    <s v="ORD1199"/>
    <x v="15"/>
    <x v="1"/>
    <x v="1"/>
    <x v="0"/>
    <x v="1"/>
    <n v="8"/>
    <n v="19.29"/>
    <n v="11.07"/>
    <n v="154.32"/>
    <n v="143.25"/>
    <n v="88.56"/>
  </r>
  <r>
    <s v="ORD1200"/>
    <x v="74"/>
    <x v="1"/>
    <x v="0"/>
    <x v="0"/>
    <x v="15"/>
    <n v="6"/>
    <n v="26.79"/>
    <n v="15.58"/>
    <n v="160.74"/>
    <n v="145.16"/>
    <n v="93.48"/>
  </r>
  <r>
    <s v="ORD1201"/>
    <x v="3"/>
    <x v="4"/>
    <x v="3"/>
    <x v="1"/>
    <x v="13"/>
    <n v="2"/>
    <n v="22.8"/>
    <n v="12.57"/>
    <n v="45.6"/>
    <n v="33.03"/>
    <n v="25.14"/>
  </r>
  <r>
    <s v="ORD1202"/>
    <x v="26"/>
    <x v="2"/>
    <x v="1"/>
    <x v="1"/>
    <x v="13"/>
    <n v="3"/>
    <n v="25.42"/>
    <n v="12.94"/>
    <n v="76.260000000000005"/>
    <n v="63.320000000000007"/>
    <n v="38.82"/>
  </r>
  <r>
    <s v="ORD1203"/>
    <x v="29"/>
    <x v="0"/>
    <x v="2"/>
    <x v="3"/>
    <x v="8"/>
    <n v="6"/>
    <n v="23.27"/>
    <n v="9.77"/>
    <n v="139.62"/>
    <n v="129.85"/>
    <n v="58.62"/>
  </r>
  <r>
    <s v="ORD1204"/>
    <x v="106"/>
    <x v="2"/>
    <x v="3"/>
    <x v="0"/>
    <x v="1"/>
    <n v="5"/>
    <n v="18.11"/>
    <n v="11.18"/>
    <n v="90.55"/>
    <n v="79.37"/>
    <n v="55.9"/>
  </r>
  <r>
    <s v="ORD1205"/>
    <x v="107"/>
    <x v="1"/>
    <x v="0"/>
    <x v="1"/>
    <x v="12"/>
    <n v="6"/>
    <n v="15.31"/>
    <n v="7.55"/>
    <n v="91.86"/>
    <n v="84.31"/>
    <n v="45.3"/>
  </r>
  <r>
    <s v="ORD1206"/>
    <x v="15"/>
    <x v="4"/>
    <x v="3"/>
    <x v="2"/>
    <x v="3"/>
    <n v="7"/>
    <n v="62.58"/>
    <n v="37.11"/>
    <n v="438.06"/>
    <n v="400.95"/>
    <n v="259.77"/>
  </r>
  <r>
    <s v="ORD1207"/>
    <x v="35"/>
    <x v="1"/>
    <x v="2"/>
    <x v="3"/>
    <x v="7"/>
    <n v="7"/>
    <n v="20.57"/>
    <n v="11.37"/>
    <n v="143.99"/>
    <n v="132.62"/>
    <n v="79.589999999999989"/>
  </r>
  <r>
    <s v="ORD1208"/>
    <x v="47"/>
    <x v="3"/>
    <x v="0"/>
    <x v="0"/>
    <x v="11"/>
    <n v="6"/>
    <n v="27.58"/>
    <n v="18.87"/>
    <n v="165.48"/>
    <n v="146.60999999999999"/>
    <n v="113.22"/>
  </r>
  <r>
    <s v="ORD1209"/>
    <x v="65"/>
    <x v="3"/>
    <x v="0"/>
    <x v="2"/>
    <x v="3"/>
    <n v="2"/>
    <n v="79.260000000000005"/>
    <n v="38.74"/>
    <n v="158.52000000000001"/>
    <n v="119.78"/>
    <n v="77.48"/>
  </r>
  <r>
    <s v="ORD1210"/>
    <x v="108"/>
    <x v="1"/>
    <x v="2"/>
    <x v="0"/>
    <x v="1"/>
    <n v="6"/>
    <n v="27.85"/>
    <n v="18.46"/>
    <n v="167.10000000000002"/>
    <n v="148.64000000000001"/>
    <n v="110.76"/>
  </r>
  <r>
    <s v="ORD1211"/>
    <x v="30"/>
    <x v="3"/>
    <x v="0"/>
    <x v="1"/>
    <x v="10"/>
    <n v="3"/>
    <n v="25.68"/>
    <n v="16.68"/>
    <n v="77.039999999999992"/>
    <n v="60.359999999999992"/>
    <n v="50.04"/>
  </r>
  <r>
    <s v="ORD1212"/>
    <x v="51"/>
    <x v="2"/>
    <x v="3"/>
    <x v="1"/>
    <x v="4"/>
    <n v="4"/>
    <n v="24.77"/>
    <n v="17.11"/>
    <n v="99.08"/>
    <n v="81.97"/>
    <n v="68.44"/>
  </r>
  <r>
    <s v="ORD1213"/>
    <x v="72"/>
    <x v="1"/>
    <x v="0"/>
    <x v="3"/>
    <x v="8"/>
    <n v="5"/>
    <n v="21.26"/>
    <n v="14.66"/>
    <n v="106.30000000000001"/>
    <n v="91.640000000000015"/>
    <n v="73.3"/>
  </r>
  <r>
    <s v="ORD1214"/>
    <x v="8"/>
    <x v="1"/>
    <x v="1"/>
    <x v="2"/>
    <x v="3"/>
    <n v="8"/>
    <n v="58.42"/>
    <n v="36.85"/>
    <n v="467.36"/>
    <n v="430.51"/>
    <n v="294.8"/>
  </r>
  <r>
    <s v="ORD1215"/>
    <x v="101"/>
    <x v="3"/>
    <x v="0"/>
    <x v="2"/>
    <x v="9"/>
    <n v="5"/>
    <n v="63.79"/>
    <n v="26.51"/>
    <n v="318.95"/>
    <n v="292.44"/>
    <n v="132.55000000000001"/>
  </r>
  <r>
    <s v="ORD1216"/>
    <x v="16"/>
    <x v="4"/>
    <x v="2"/>
    <x v="2"/>
    <x v="9"/>
    <n v="5"/>
    <n v="56.14"/>
    <n v="23.87"/>
    <n v="280.7"/>
    <n v="256.83"/>
    <n v="119.35000000000001"/>
  </r>
  <r>
    <s v="ORD1217"/>
    <x v="3"/>
    <x v="1"/>
    <x v="0"/>
    <x v="1"/>
    <x v="12"/>
    <n v="7"/>
    <n v="18.82"/>
    <n v="8.0500000000000007"/>
    <n v="131.74"/>
    <n v="123.69000000000001"/>
    <n v="56.350000000000009"/>
  </r>
  <r>
    <s v="ORD1218"/>
    <x v="12"/>
    <x v="0"/>
    <x v="2"/>
    <x v="1"/>
    <x v="4"/>
    <n v="7"/>
    <n v="17.57"/>
    <n v="7.31"/>
    <n v="122.99000000000001"/>
    <n v="115.68"/>
    <n v="51.169999999999995"/>
  </r>
  <r>
    <s v="ORD1219"/>
    <x v="109"/>
    <x v="4"/>
    <x v="3"/>
    <x v="3"/>
    <x v="7"/>
    <n v="4"/>
    <n v="18.41"/>
    <n v="7.52"/>
    <n v="73.64"/>
    <n v="66.12"/>
    <n v="30.08"/>
  </r>
  <r>
    <s v="ORD1220"/>
    <x v="66"/>
    <x v="3"/>
    <x v="0"/>
    <x v="0"/>
    <x v="11"/>
    <n v="1"/>
    <n v="36.57"/>
    <n v="17.78"/>
    <n v="36.57"/>
    <n v="18.79"/>
    <n v="17.78"/>
  </r>
  <r>
    <s v="ORD1221"/>
    <x v="98"/>
    <x v="2"/>
    <x v="1"/>
    <x v="2"/>
    <x v="3"/>
    <n v="1"/>
    <n v="50.66"/>
    <n v="34.03"/>
    <n v="50.66"/>
    <n v="16.629999999999995"/>
    <n v="34.03"/>
  </r>
  <r>
    <s v="ORD1222"/>
    <x v="23"/>
    <x v="3"/>
    <x v="1"/>
    <x v="0"/>
    <x v="11"/>
    <n v="2"/>
    <n v="28.43"/>
    <n v="17.989999999999998"/>
    <n v="56.86"/>
    <n v="38.870000000000005"/>
    <n v="35.979999999999997"/>
  </r>
  <r>
    <s v="ORD1223"/>
    <x v="78"/>
    <x v="4"/>
    <x v="0"/>
    <x v="1"/>
    <x v="12"/>
    <n v="7"/>
    <n v="11.94"/>
    <n v="7.06"/>
    <n v="83.58"/>
    <n v="76.52"/>
    <n v="49.419999999999995"/>
  </r>
  <r>
    <s v="ORD1224"/>
    <x v="42"/>
    <x v="2"/>
    <x v="2"/>
    <x v="2"/>
    <x v="3"/>
    <n v="4"/>
    <n v="57.64"/>
    <n v="35.479999999999997"/>
    <n v="230.56"/>
    <n v="195.08"/>
    <n v="141.91999999999999"/>
  </r>
  <r>
    <s v="ORD1225"/>
    <x v="110"/>
    <x v="1"/>
    <x v="3"/>
    <x v="3"/>
    <x v="8"/>
    <n v="4"/>
    <n v="23.44"/>
    <n v="13.39"/>
    <n v="93.76"/>
    <n v="80.37"/>
    <n v="53.56"/>
  </r>
  <r>
    <s v="ORD1226"/>
    <x v="80"/>
    <x v="0"/>
    <x v="2"/>
    <x v="1"/>
    <x v="13"/>
    <n v="1"/>
    <n v="20.32"/>
    <n v="10.51"/>
    <n v="20.32"/>
    <n v="9.81"/>
    <n v="10.51"/>
  </r>
  <r>
    <s v="ORD1227"/>
    <x v="9"/>
    <x v="2"/>
    <x v="3"/>
    <x v="2"/>
    <x v="3"/>
    <n v="5"/>
    <n v="54.61"/>
    <n v="34.090000000000003"/>
    <n v="273.05"/>
    <n v="238.96"/>
    <n v="170.45000000000002"/>
  </r>
  <r>
    <s v="ORD1228"/>
    <x v="99"/>
    <x v="3"/>
    <x v="2"/>
    <x v="3"/>
    <x v="5"/>
    <n v="6"/>
    <n v="14.42"/>
    <n v="6.35"/>
    <n v="86.52"/>
    <n v="80.17"/>
    <n v="38.099999999999994"/>
  </r>
  <r>
    <s v="ORD1229"/>
    <x v="55"/>
    <x v="3"/>
    <x v="1"/>
    <x v="3"/>
    <x v="6"/>
    <n v="8"/>
    <n v="21.4"/>
    <n v="12.62"/>
    <n v="171.2"/>
    <n v="158.57999999999998"/>
    <n v="100.96"/>
  </r>
  <r>
    <s v="ORD1230"/>
    <x v="111"/>
    <x v="2"/>
    <x v="2"/>
    <x v="1"/>
    <x v="13"/>
    <n v="5"/>
    <n v="16.350000000000001"/>
    <n v="7.53"/>
    <n v="81.75"/>
    <n v="74.22"/>
    <n v="37.65"/>
  </r>
  <r>
    <s v="ORD1231"/>
    <x v="82"/>
    <x v="0"/>
    <x v="1"/>
    <x v="1"/>
    <x v="13"/>
    <n v="8"/>
    <n v="21.08"/>
    <n v="10.029999999999999"/>
    <n v="168.64"/>
    <n v="158.60999999999999"/>
    <n v="80.239999999999995"/>
  </r>
  <r>
    <s v="ORD1232"/>
    <x v="84"/>
    <x v="4"/>
    <x v="3"/>
    <x v="1"/>
    <x v="12"/>
    <n v="5"/>
    <n v="20.23"/>
    <n v="8.85"/>
    <n v="101.15"/>
    <n v="92.300000000000011"/>
    <n v="44.25"/>
  </r>
  <r>
    <s v="ORD1233"/>
    <x v="12"/>
    <x v="2"/>
    <x v="1"/>
    <x v="3"/>
    <x v="8"/>
    <n v="7"/>
    <n v="14.74"/>
    <n v="7.4"/>
    <n v="103.18"/>
    <n v="95.78"/>
    <n v="51.800000000000004"/>
  </r>
  <r>
    <s v="ORD1234"/>
    <x v="93"/>
    <x v="2"/>
    <x v="3"/>
    <x v="1"/>
    <x v="4"/>
    <n v="5"/>
    <n v="30.72"/>
    <n v="19.670000000000002"/>
    <n v="153.6"/>
    <n v="133.93"/>
    <n v="98.350000000000009"/>
  </r>
  <r>
    <s v="ORD1235"/>
    <x v="102"/>
    <x v="1"/>
    <x v="0"/>
    <x v="2"/>
    <x v="3"/>
    <n v="5"/>
    <n v="63.17"/>
    <n v="31.36"/>
    <n v="315.85000000000002"/>
    <n v="284.49"/>
    <n v="156.80000000000001"/>
  </r>
  <r>
    <s v="ORD1236"/>
    <x v="70"/>
    <x v="0"/>
    <x v="3"/>
    <x v="0"/>
    <x v="11"/>
    <n v="8"/>
    <n v="14.87"/>
    <n v="8.64"/>
    <n v="118.96"/>
    <n v="110.32"/>
    <n v="69.12"/>
  </r>
  <r>
    <s v="ORD1237"/>
    <x v="93"/>
    <x v="2"/>
    <x v="3"/>
    <x v="2"/>
    <x v="3"/>
    <n v="8"/>
    <n v="60.93"/>
    <n v="25.15"/>
    <n v="487.44"/>
    <n v="462.29"/>
    <n v="201.2"/>
  </r>
  <r>
    <s v="ORD1238"/>
    <x v="48"/>
    <x v="4"/>
    <x v="2"/>
    <x v="3"/>
    <x v="8"/>
    <n v="7"/>
    <n v="14.69"/>
    <n v="7.48"/>
    <n v="102.83"/>
    <n v="95.35"/>
    <n v="52.36"/>
  </r>
  <r>
    <s v="ORD1239"/>
    <x v="100"/>
    <x v="1"/>
    <x v="1"/>
    <x v="1"/>
    <x v="13"/>
    <n v="1"/>
    <n v="24.26"/>
    <n v="10.62"/>
    <n v="24.26"/>
    <n v="13.640000000000002"/>
    <n v="10.62"/>
  </r>
  <r>
    <s v="ORD1240"/>
    <x v="67"/>
    <x v="2"/>
    <x v="2"/>
    <x v="1"/>
    <x v="12"/>
    <n v="3"/>
    <n v="16.04"/>
    <n v="9.68"/>
    <n v="48.12"/>
    <n v="38.44"/>
    <n v="29.04"/>
  </r>
  <r>
    <s v="ORD1241"/>
    <x v="75"/>
    <x v="4"/>
    <x v="0"/>
    <x v="3"/>
    <x v="6"/>
    <n v="6"/>
    <n v="17.43"/>
    <n v="9.0500000000000007"/>
    <n v="104.58"/>
    <n v="95.53"/>
    <n v="54.300000000000004"/>
  </r>
  <r>
    <s v="ORD1242"/>
    <x v="42"/>
    <x v="4"/>
    <x v="0"/>
    <x v="3"/>
    <x v="7"/>
    <n v="8"/>
    <n v="20.52"/>
    <n v="11.4"/>
    <n v="164.16"/>
    <n v="152.76"/>
    <n v="91.2"/>
  </r>
  <r>
    <s v="ORD1243"/>
    <x v="18"/>
    <x v="0"/>
    <x v="1"/>
    <x v="0"/>
    <x v="11"/>
    <n v="4"/>
    <n v="29.33"/>
    <n v="20.5"/>
    <n v="117.32"/>
    <n v="96.82"/>
    <n v="82"/>
  </r>
  <r>
    <s v="ORD1244"/>
    <x v="85"/>
    <x v="4"/>
    <x v="0"/>
    <x v="3"/>
    <x v="8"/>
    <n v="2"/>
    <n v="12"/>
    <n v="6.43"/>
    <n v="24"/>
    <n v="17.57"/>
    <n v="12.86"/>
  </r>
  <r>
    <s v="ORD1245"/>
    <x v="112"/>
    <x v="0"/>
    <x v="3"/>
    <x v="2"/>
    <x v="3"/>
    <n v="2"/>
    <n v="58.33"/>
    <n v="32.96"/>
    <n v="116.66"/>
    <n v="83.699999999999989"/>
    <n v="65.92"/>
  </r>
  <r>
    <s v="ORD1246"/>
    <x v="89"/>
    <x v="3"/>
    <x v="0"/>
    <x v="3"/>
    <x v="6"/>
    <n v="6"/>
    <n v="15.63"/>
    <n v="8.64"/>
    <n v="93.78"/>
    <n v="85.14"/>
    <n v="51.84"/>
  </r>
  <r>
    <s v="ORD1247"/>
    <x v="66"/>
    <x v="3"/>
    <x v="0"/>
    <x v="0"/>
    <x v="14"/>
    <n v="8"/>
    <n v="21.73"/>
    <n v="8.86"/>
    <n v="173.84"/>
    <n v="164.98000000000002"/>
    <n v="70.88"/>
  </r>
  <r>
    <s v="ORD1248"/>
    <x v="88"/>
    <x v="1"/>
    <x v="0"/>
    <x v="3"/>
    <x v="8"/>
    <n v="2"/>
    <n v="26.83"/>
    <n v="11.26"/>
    <n v="53.66"/>
    <n v="42.4"/>
    <n v="22.52"/>
  </r>
  <r>
    <s v="ORD1249"/>
    <x v="80"/>
    <x v="2"/>
    <x v="1"/>
    <x v="2"/>
    <x v="9"/>
    <n v="2"/>
    <n v="62.02"/>
    <n v="27.14"/>
    <n v="124.04"/>
    <n v="96.9"/>
    <n v="54.28"/>
  </r>
  <r>
    <s v="ORD1250"/>
    <x v="3"/>
    <x v="2"/>
    <x v="3"/>
    <x v="3"/>
    <x v="5"/>
    <n v="3"/>
    <n v="11.7"/>
    <n v="7.76"/>
    <n v="35.099999999999994"/>
    <n v="27.339999999999996"/>
    <n v="23.28"/>
  </r>
  <r>
    <s v="ORD1251"/>
    <x v="102"/>
    <x v="1"/>
    <x v="2"/>
    <x v="1"/>
    <x v="2"/>
    <n v="2"/>
    <n v="24.59"/>
    <n v="13.66"/>
    <n v="49.18"/>
    <n v="35.519999999999996"/>
    <n v="27.32"/>
  </r>
  <r>
    <s v="ORD1252"/>
    <x v="101"/>
    <x v="0"/>
    <x v="0"/>
    <x v="3"/>
    <x v="7"/>
    <n v="6"/>
    <n v="28.61"/>
    <n v="19.579999999999998"/>
    <n v="171.66"/>
    <n v="152.07999999999998"/>
    <n v="117.47999999999999"/>
  </r>
  <r>
    <s v="ORD1253"/>
    <x v="40"/>
    <x v="3"/>
    <x v="3"/>
    <x v="3"/>
    <x v="5"/>
    <n v="3"/>
    <n v="23.16"/>
    <n v="13.61"/>
    <n v="69.48"/>
    <n v="55.870000000000005"/>
    <n v="40.83"/>
  </r>
  <r>
    <s v="ORD1254"/>
    <x v="63"/>
    <x v="3"/>
    <x v="0"/>
    <x v="0"/>
    <x v="1"/>
    <n v="3"/>
    <n v="17.399999999999999"/>
    <n v="10.4"/>
    <n v="52.199999999999996"/>
    <n v="41.8"/>
    <n v="31.200000000000003"/>
  </r>
  <r>
    <s v="ORD1255"/>
    <x v="91"/>
    <x v="4"/>
    <x v="2"/>
    <x v="3"/>
    <x v="5"/>
    <n v="1"/>
    <n v="15.58"/>
    <n v="10.67"/>
    <n v="15.58"/>
    <n v="4.91"/>
    <n v="10.67"/>
  </r>
  <r>
    <s v="ORD1256"/>
    <x v="108"/>
    <x v="1"/>
    <x v="1"/>
    <x v="3"/>
    <x v="7"/>
    <n v="1"/>
    <n v="24.33"/>
    <n v="13.37"/>
    <n v="24.33"/>
    <n v="10.959999999999999"/>
    <n v="13.37"/>
  </r>
  <r>
    <s v="ORD1257"/>
    <x v="113"/>
    <x v="3"/>
    <x v="1"/>
    <x v="3"/>
    <x v="6"/>
    <n v="5"/>
    <n v="14.46"/>
    <n v="7.75"/>
    <n v="72.300000000000011"/>
    <n v="64.550000000000011"/>
    <n v="38.75"/>
  </r>
  <r>
    <s v="ORD1258"/>
    <x v="75"/>
    <x v="2"/>
    <x v="1"/>
    <x v="0"/>
    <x v="14"/>
    <n v="8"/>
    <n v="27.22"/>
    <n v="12.55"/>
    <n v="217.76"/>
    <n v="205.20999999999998"/>
    <n v="100.4"/>
  </r>
  <r>
    <s v="ORD1259"/>
    <x v="25"/>
    <x v="0"/>
    <x v="3"/>
    <x v="1"/>
    <x v="12"/>
    <n v="7"/>
    <n v="23.87"/>
    <n v="10.48"/>
    <n v="167.09"/>
    <n v="156.61000000000001"/>
    <n v="73.36"/>
  </r>
  <r>
    <s v="ORD1260"/>
    <x v="82"/>
    <x v="3"/>
    <x v="1"/>
    <x v="3"/>
    <x v="5"/>
    <n v="2"/>
    <n v="13.37"/>
    <n v="6.42"/>
    <n v="26.74"/>
    <n v="20.32"/>
    <n v="12.84"/>
  </r>
  <r>
    <s v="ORD1261"/>
    <x v="94"/>
    <x v="4"/>
    <x v="3"/>
    <x v="1"/>
    <x v="2"/>
    <n v="7"/>
    <n v="19.7"/>
    <n v="12.99"/>
    <n v="137.9"/>
    <n v="124.91000000000001"/>
    <n v="90.93"/>
  </r>
  <r>
    <s v="ORD1262"/>
    <x v="25"/>
    <x v="3"/>
    <x v="3"/>
    <x v="2"/>
    <x v="3"/>
    <n v="6"/>
    <n v="43.79"/>
    <n v="20.010000000000002"/>
    <n v="262.74"/>
    <n v="242.73000000000002"/>
    <n v="120.06"/>
  </r>
  <r>
    <s v="ORD1263"/>
    <x v="54"/>
    <x v="2"/>
    <x v="1"/>
    <x v="1"/>
    <x v="4"/>
    <n v="5"/>
    <n v="14.88"/>
    <n v="8.17"/>
    <n v="74.400000000000006"/>
    <n v="66.23"/>
    <n v="40.85"/>
  </r>
  <r>
    <s v="ORD1264"/>
    <x v="2"/>
    <x v="2"/>
    <x v="0"/>
    <x v="0"/>
    <x v="15"/>
    <n v="4"/>
    <n v="23.74"/>
    <n v="13.65"/>
    <n v="94.96"/>
    <n v="81.309999999999988"/>
    <n v="54.6"/>
  </r>
  <r>
    <s v="ORD1265"/>
    <x v="39"/>
    <x v="2"/>
    <x v="1"/>
    <x v="0"/>
    <x v="0"/>
    <n v="5"/>
    <n v="18.760000000000002"/>
    <n v="10.52"/>
    <n v="93.800000000000011"/>
    <n v="83.280000000000015"/>
    <n v="52.599999999999994"/>
  </r>
  <r>
    <s v="ORD1266"/>
    <x v="92"/>
    <x v="0"/>
    <x v="3"/>
    <x v="0"/>
    <x v="15"/>
    <n v="7"/>
    <n v="33.159999999999997"/>
    <n v="16.899999999999999"/>
    <n v="232.11999999999998"/>
    <n v="215.21999999999997"/>
    <n v="118.29999999999998"/>
  </r>
  <r>
    <s v="ORD1267"/>
    <x v="114"/>
    <x v="1"/>
    <x v="0"/>
    <x v="2"/>
    <x v="3"/>
    <n v="6"/>
    <n v="52.85"/>
    <n v="29.91"/>
    <n v="317.10000000000002"/>
    <n v="287.19"/>
    <n v="179.46"/>
  </r>
  <r>
    <s v="ORD1268"/>
    <x v="2"/>
    <x v="2"/>
    <x v="3"/>
    <x v="0"/>
    <x v="15"/>
    <n v="2"/>
    <n v="22.8"/>
    <n v="10"/>
    <n v="45.6"/>
    <n v="35.6"/>
    <n v="20"/>
  </r>
  <r>
    <s v="ORD1269"/>
    <x v="8"/>
    <x v="0"/>
    <x v="3"/>
    <x v="0"/>
    <x v="15"/>
    <n v="3"/>
    <n v="25.65"/>
    <n v="11.79"/>
    <n v="76.949999999999989"/>
    <n v="65.16"/>
    <n v="35.369999999999997"/>
  </r>
  <r>
    <s v="ORD1270"/>
    <x v="51"/>
    <x v="4"/>
    <x v="0"/>
    <x v="2"/>
    <x v="3"/>
    <n v="6"/>
    <n v="67.209999999999994"/>
    <n v="43.09"/>
    <n v="403.26"/>
    <n v="360.16999999999996"/>
    <n v="258.54000000000002"/>
  </r>
  <r>
    <s v="ORD1271"/>
    <x v="50"/>
    <x v="1"/>
    <x v="0"/>
    <x v="2"/>
    <x v="3"/>
    <n v="6"/>
    <n v="52.82"/>
    <n v="35.89"/>
    <n v="316.92"/>
    <n v="281.03000000000003"/>
    <n v="215.34"/>
  </r>
  <r>
    <s v="ORD1272"/>
    <x v="104"/>
    <x v="1"/>
    <x v="3"/>
    <x v="3"/>
    <x v="7"/>
    <n v="6"/>
    <n v="23.82"/>
    <n v="13.15"/>
    <n v="142.92000000000002"/>
    <n v="129.77000000000001"/>
    <n v="78.900000000000006"/>
  </r>
  <r>
    <s v="ORD1273"/>
    <x v="81"/>
    <x v="4"/>
    <x v="3"/>
    <x v="2"/>
    <x v="9"/>
    <n v="6"/>
    <n v="60.05"/>
    <n v="36.159999999999997"/>
    <n v="360.29999999999995"/>
    <n v="324.14"/>
    <n v="216.95999999999998"/>
  </r>
  <r>
    <s v="ORD1274"/>
    <x v="66"/>
    <x v="4"/>
    <x v="1"/>
    <x v="2"/>
    <x v="9"/>
    <n v="5"/>
    <n v="55.09"/>
    <n v="38.020000000000003"/>
    <n v="275.45000000000005"/>
    <n v="237.43000000000004"/>
    <n v="190.10000000000002"/>
  </r>
  <r>
    <s v="ORD1275"/>
    <x v="32"/>
    <x v="2"/>
    <x v="0"/>
    <x v="1"/>
    <x v="13"/>
    <n v="7"/>
    <n v="22.31"/>
    <n v="9.91"/>
    <n v="156.16999999999999"/>
    <n v="146.26"/>
    <n v="69.37"/>
  </r>
  <r>
    <s v="ORD1276"/>
    <x v="6"/>
    <x v="4"/>
    <x v="0"/>
    <x v="1"/>
    <x v="13"/>
    <n v="1"/>
    <n v="21"/>
    <n v="11.18"/>
    <n v="21"/>
    <n v="9.82"/>
    <n v="11.18"/>
  </r>
  <r>
    <s v="ORD1277"/>
    <x v="29"/>
    <x v="3"/>
    <x v="1"/>
    <x v="2"/>
    <x v="3"/>
    <n v="8"/>
    <n v="57"/>
    <n v="37.729999999999997"/>
    <n v="456"/>
    <n v="418.27"/>
    <n v="301.83999999999997"/>
  </r>
  <r>
    <s v="ORD1278"/>
    <x v="76"/>
    <x v="3"/>
    <x v="3"/>
    <x v="0"/>
    <x v="14"/>
    <n v="8"/>
    <n v="25.35"/>
    <n v="14.14"/>
    <n v="202.8"/>
    <n v="188.66000000000003"/>
    <n v="113.12"/>
  </r>
  <r>
    <s v="ORD1279"/>
    <x v="36"/>
    <x v="1"/>
    <x v="3"/>
    <x v="3"/>
    <x v="7"/>
    <n v="6"/>
    <n v="16.07"/>
    <n v="9.69"/>
    <n v="96.42"/>
    <n v="86.73"/>
    <n v="58.14"/>
  </r>
  <r>
    <s v="ORD1280"/>
    <x v="24"/>
    <x v="3"/>
    <x v="3"/>
    <x v="3"/>
    <x v="8"/>
    <n v="5"/>
    <n v="18.57"/>
    <n v="8.68"/>
    <n v="92.85"/>
    <n v="84.169999999999987"/>
    <n v="43.4"/>
  </r>
  <r>
    <s v="ORD1281"/>
    <x v="115"/>
    <x v="3"/>
    <x v="1"/>
    <x v="3"/>
    <x v="6"/>
    <n v="6"/>
    <n v="21.31"/>
    <n v="11.59"/>
    <n v="127.85999999999999"/>
    <n v="116.26999999999998"/>
    <n v="69.539999999999992"/>
  </r>
  <r>
    <s v="ORD1282"/>
    <x v="78"/>
    <x v="1"/>
    <x v="1"/>
    <x v="3"/>
    <x v="6"/>
    <n v="7"/>
    <n v="25.93"/>
    <n v="16.739999999999998"/>
    <n v="181.51"/>
    <n v="164.76999999999998"/>
    <n v="117.17999999999999"/>
  </r>
  <r>
    <s v="ORD1283"/>
    <x v="51"/>
    <x v="0"/>
    <x v="2"/>
    <x v="1"/>
    <x v="12"/>
    <n v="6"/>
    <n v="13.81"/>
    <n v="9.35"/>
    <n v="82.86"/>
    <n v="73.510000000000005"/>
    <n v="56.099999999999994"/>
  </r>
  <r>
    <s v="ORD1284"/>
    <x v="23"/>
    <x v="3"/>
    <x v="3"/>
    <x v="3"/>
    <x v="8"/>
    <n v="5"/>
    <n v="28.67"/>
    <n v="12.65"/>
    <n v="143.35000000000002"/>
    <n v="130.70000000000002"/>
    <n v="63.25"/>
  </r>
  <r>
    <s v="ORD1285"/>
    <x v="73"/>
    <x v="1"/>
    <x v="0"/>
    <x v="1"/>
    <x v="2"/>
    <n v="4"/>
    <n v="10.24"/>
    <n v="4.26"/>
    <n v="40.96"/>
    <n v="36.700000000000003"/>
    <n v="17.04"/>
  </r>
  <r>
    <s v="ORD1286"/>
    <x v="111"/>
    <x v="2"/>
    <x v="2"/>
    <x v="2"/>
    <x v="9"/>
    <n v="3"/>
    <n v="59.24"/>
    <n v="23.79"/>
    <n v="177.72"/>
    <n v="153.93"/>
    <n v="71.37"/>
  </r>
  <r>
    <s v="ORD1287"/>
    <x v="28"/>
    <x v="2"/>
    <x v="1"/>
    <x v="1"/>
    <x v="4"/>
    <n v="4"/>
    <n v="22.94"/>
    <n v="14.38"/>
    <n v="91.76"/>
    <n v="77.38000000000001"/>
    <n v="57.52"/>
  </r>
  <r>
    <s v="ORD1288"/>
    <x v="39"/>
    <x v="4"/>
    <x v="2"/>
    <x v="3"/>
    <x v="6"/>
    <n v="4"/>
    <n v="19.399999999999999"/>
    <n v="10.87"/>
    <n v="77.599999999999994"/>
    <n v="66.72999999999999"/>
    <n v="43.48"/>
  </r>
  <r>
    <s v="ORD1289"/>
    <x v="116"/>
    <x v="3"/>
    <x v="2"/>
    <x v="0"/>
    <x v="14"/>
    <n v="7"/>
    <n v="21.89"/>
    <n v="13.93"/>
    <n v="153.23000000000002"/>
    <n v="139.30000000000001"/>
    <n v="97.509999999999991"/>
  </r>
  <r>
    <s v="ORD1290"/>
    <x v="19"/>
    <x v="4"/>
    <x v="2"/>
    <x v="1"/>
    <x v="12"/>
    <n v="5"/>
    <n v="18.96"/>
    <n v="10.81"/>
    <n v="94.800000000000011"/>
    <n v="83.990000000000009"/>
    <n v="54.050000000000004"/>
  </r>
  <r>
    <s v="ORD1291"/>
    <x v="39"/>
    <x v="2"/>
    <x v="1"/>
    <x v="0"/>
    <x v="11"/>
    <n v="3"/>
    <n v="22.53"/>
    <n v="14.76"/>
    <n v="67.59"/>
    <n v="52.830000000000005"/>
    <n v="44.28"/>
  </r>
  <r>
    <s v="ORD1292"/>
    <x v="24"/>
    <x v="4"/>
    <x v="3"/>
    <x v="2"/>
    <x v="9"/>
    <n v="3"/>
    <n v="57.05"/>
    <n v="35.33"/>
    <n v="171.14999999999998"/>
    <n v="135.82"/>
    <n v="105.99"/>
  </r>
  <r>
    <s v="ORD1293"/>
    <x v="96"/>
    <x v="0"/>
    <x v="3"/>
    <x v="3"/>
    <x v="7"/>
    <n v="4"/>
    <n v="22.25"/>
    <n v="10.07"/>
    <n v="89"/>
    <n v="78.930000000000007"/>
    <n v="40.28"/>
  </r>
  <r>
    <s v="ORD1294"/>
    <x v="54"/>
    <x v="0"/>
    <x v="2"/>
    <x v="2"/>
    <x v="9"/>
    <n v="7"/>
    <n v="61.79"/>
    <n v="37.119999999999997"/>
    <n v="432.53"/>
    <n v="395.40999999999997"/>
    <n v="259.83999999999997"/>
  </r>
  <r>
    <s v="ORD1295"/>
    <x v="113"/>
    <x v="0"/>
    <x v="0"/>
    <x v="1"/>
    <x v="2"/>
    <n v="1"/>
    <n v="16.54"/>
    <n v="7.91"/>
    <n v="16.54"/>
    <n v="8.629999999999999"/>
    <n v="7.91"/>
  </r>
  <r>
    <s v="ORD1296"/>
    <x v="57"/>
    <x v="0"/>
    <x v="3"/>
    <x v="1"/>
    <x v="4"/>
    <n v="5"/>
    <n v="24.5"/>
    <n v="14.08"/>
    <n v="122.5"/>
    <n v="108.42"/>
    <n v="70.400000000000006"/>
  </r>
  <r>
    <s v="ORD1297"/>
    <x v="28"/>
    <x v="0"/>
    <x v="0"/>
    <x v="0"/>
    <x v="11"/>
    <n v="1"/>
    <n v="26.54"/>
    <n v="15.93"/>
    <n v="26.54"/>
    <n v="10.61"/>
    <n v="15.93"/>
  </r>
  <r>
    <s v="ORD1298"/>
    <x v="101"/>
    <x v="2"/>
    <x v="3"/>
    <x v="2"/>
    <x v="9"/>
    <n v="2"/>
    <n v="64.06"/>
    <n v="37.9"/>
    <n v="128.12"/>
    <n v="90.22"/>
    <n v="75.8"/>
  </r>
  <r>
    <s v="ORD1299"/>
    <x v="53"/>
    <x v="3"/>
    <x v="0"/>
    <x v="3"/>
    <x v="6"/>
    <n v="3"/>
    <n v="21.15"/>
    <n v="11.49"/>
    <n v="63.449999999999996"/>
    <n v="51.959999999999994"/>
    <n v="34.47"/>
  </r>
  <r>
    <s v="ORD1300"/>
    <x v="116"/>
    <x v="1"/>
    <x v="1"/>
    <x v="2"/>
    <x v="9"/>
    <n v="4"/>
    <n v="55.86"/>
    <n v="35.11"/>
    <n v="223.44"/>
    <n v="188.32999999999998"/>
    <n v="140.44"/>
  </r>
  <r>
    <s v="ORD1301"/>
    <x v="3"/>
    <x v="1"/>
    <x v="3"/>
    <x v="0"/>
    <x v="1"/>
    <n v="2"/>
    <n v="22.2"/>
    <n v="14.99"/>
    <n v="44.4"/>
    <n v="29.409999999999997"/>
    <n v="29.98"/>
  </r>
  <r>
    <s v="ORD1302"/>
    <x v="37"/>
    <x v="1"/>
    <x v="0"/>
    <x v="0"/>
    <x v="0"/>
    <n v="3"/>
    <n v="28.74"/>
    <n v="12.91"/>
    <n v="86.22"/>
    <n v="73.31"/>
    <n v="38.730000000000004"/>
  </r>
  <r>
    <s v="ORD1303"/>
    <x v="10"/>
    <x v="3"/>
    <x v="1"/>
    <x v="2"/>
    <x v="3"/>
    <n v="2"/>
    <n v="63.05"/>
    <n v="42.22"/>
    <n v="126.1"/>
    <n v="83.88"/>
    <n v="84.44"/>
  </r>
  <r>
    <s v="ORD1304"/>
    <x v="36"/>
    <x v="3"/>
    <x v="1"/>
    <x v="2"/>
    <x v="3"/>
    <n v="8"/>
    <n v="59.9"/>
    <n v="34.090000000000003"/>
    <n v="479.2"/>
    <n v="445.11"/>
    <n v="272.72000000000003"/>
  </r>
  <r>
    <s v="ORD1305"/>
    <x v="97"/>
    <x v="4"/>
    <x v="1"/>
    <x v="2"/>
    <x v="9"/>
    <n v="5"/>
    <n v="60.59"/>
    <n v="39.08"/>
    <n v="302.95000000000005"/>
    <n v="263.87000000000006"/>
    <n v="195.39999999999998"/>
  </r>
  <r>
    <s v="ORD1306"/>
    <x v="58"/>
    <x v="4"/>
    <x v="1"/>
    <x v="1"/>
    <x v="10"/>
    <n v="6"/>
    <n v="26.39"/>
    <n v="16.100000000000001"/>
    <n v="158.34"/>
    <n v="142.24"/>
    <n v="96.600000000000009"/>
  </r>
  <r>
    <s v="ORD1307"/>
    <x v="34"/>
    <x v="2"/>
    <x v="2"/>
    <x v="0"/>
    <x v="0"/>
    <n v="5"/>
    <n v="22.04"/>
    <n v="11.52"/>
    <n v="110.19999999999999"/>
    <n v="98.679999999999993"/>
    <n v="57.599999999999994"/>
  </r>
  <r>
    <s v="ORD1308"/>
    <x v="8"/>
    <x v="2"/>
    <x v="1"/>
    <x v="1"/>
    <x v="4"/>
    <n v="7"/>
    <n v="22.74"/>
    <n v="11.66"/>
    <n v="159.17999999999998"/>
    <n v="147.51999999999998"/>
    <n v="81.62"/>
  </r>
  <r>
    <s v="ORD1309"/>
    <x v="78"/>
    <x v="3"/>
    <x v="1"/>
    <x v="1"/>
    <x v="12"/>
    <n v="3"/>
    <n v="18.989999999999998"/>
    <n v="11.74"/>
    <n v="56.97"/>
    <n v="45.23"/>
    <n v="35.22"/>
  </r>
  <r>
    <s v="ORD1310"/>
    <x v="57"/>
    <x v="4"/>
    <x v="3"/>
    <x v="1"/>
    <x v="13"/>
    <n v="8"/>
    <n v="18.91"/>
    <n v="11.38"/>
    <n v="151.28"/>
    <n v="139.9"/>
    <n v="91.04"/>
  </r>
  <r>
    <s v="ORD1311"/>
    <x v="91"/>
    <x v="3"/>
    <x v="0"/>
    <x v="2"/>
    <x v="9"/>
    <n v="8"/>
    <n v="65.489999999999995"/>
    <n v="33"/>
    <n v="523.91999999999996"/>
    <n v="490.91999999999996"/>
    <n v="264"/>
  </r>
  <r>
    <s v="ORD1312"/>
    <x v="34"/>
    <x v="4"/>
    <x v="2"/>
    <x v="3"/>
    <x v="7"/>
    <n v="7"/>
    <n v="22.13"/>
    <n v="12.93"/>
    <n v="154.91"/>
    <n v="141.97999999999999"/>
    <n v="90.509999999999991"/>
  </r>
  <r>
    <s v="ORD1313"/>
    <x v="44"/>
    <x v="4"/>
    <x v="2"/>
    <x v="0"/>
    <x v="14"/>
    <n v="1"/>
    <n v="29.07"/>
    <n v="15.52"/>
    <n v="29.07"/>
    <n v="13.55"/>
    <n v="15.52"/>
  </r>
  <r>
    <s v="ORD1314"/>
    <x v="0"/>
    <x v="4"/>
    <x v="1"/>
    <x v="0"/>
    <x v="14"/>
    <n v="8"/>
    <n v="31.53"/>
    <n v="14.83"/>
    <n v="252.24"/>
    <n v="237.41"/>
    <n v="118.64"/>
  </r>
  <r>
    <s v="ORD1315"/>
    <x v="92"/>
    <x v="1"/>
    <x v="3"/>
    <x v="1"/>
    <x v="13"/>
    <n v="4"/>
    <n v="20.11"/>
    <n v="12.97"/>
    <n v="80.44"/>
    <n v="67.47"/>
    <n v="51.88"/>
  </r>
  <r>
    <s v="ORD1316"/>
    <x v="69"/>
    <x v="0"/>
    <x v="0"/>
    <x v="3"/>
    <x v="6"/>
    <n v="4"/>
    <n v="21.41"/>
    <n v="11.22"/>
    <n v="85.64"/>
    <n v="74.42"/>
    <n v="44.88"/>
  </r>
  <r>
    <s v="ORD1317"/>
    <x v="56"/>
    <x v="1"/>
    <x v="0"/>
    <x v="3"/>
    <x v="5"/>
    <n v="7"/>
    <n v="16.45"/>
    <n v="9.32"/>
    <n v="115.14999999999999"/>
    <n v="105.82999999999998"/>
    <n v="65.240000000000009"/>
  </r>
  <r>
    <s v="ORD1318"/>
    <x v="38"/>
    <x v="2"/>
    <x v="3"/>
    <x v="0"/>
    <x v="11"/>
    <n v="7"/>
    <n v="26.62"/>
    <n v="13.91"/>
    <n v="186.34"/>
    <n v="172.43"/>
    <n v="97.37"/>
  </r>
  <r>
    <s v="ORD1319"/>
    <x v="117"/>
    <x v="1"/>
    <x v="1"/>
    <x v="3"/>
    <x v="8"/>
    <n v="4"/>
    <n v="17.350000000000001"/>
    <n v="11.36"/>
    <n v="69.400000000000006"/>
    <n v="58.040000000000006"/>
    <n v="45.44"/>
  </r>
  <r>
    <s v="ORD1320"/>
    <x v="112"/>
    <x v="2"/>
    <x v="2"/>
    <x v="3"/>
    <x v="7"/>
    <n v="7"/>
    <n v="18.48"/>
    <n v="12.76"/>
    <n v="129.36000000000001"/>
    <n v="116.60000000000001"/>
    <n v="89.32"/>
  </r>
  <r>
    <s v="ORD1321"/>
    <x v="26"/>
    <x v="0"/>
    <x v="0"/>
    <x v="1"/>
    <x v="4"/>
    <n v="6"/>
    <n v="22.98"/>
    <n v="13.65"/>
    <n v="137.88"/>
    <n v="124.22999999999999"/>
    <n v="81.900000000000006"/>
  </r>
  <r>
    <s v="ORD1322"/>
    <x v="1"/>
    <x v="1"/>
    <x v="0"/>
    <x v="2"/>
    <x v="9"/>
    <n v="1"/>
    <n v="55.91"/>
    <n v="26.87"/>
    <n v="55.91"/>
    <n v="29.039999999999996"/>
    <n v="26.87"/>
  </r>
  <r>
    <s v="ORD1323"/>
    <x v="24"/>
    <x v="1"/>
    <x v="0"/>
    <x v="0"/>
    <x v="0"/>
    <n v="8"/>
    <n v="35.46"/>
    <n v="16.41"/>
    <n v="283.68"/>
    <n v="267.27"/>
    <n v="131.28"/>
  </r>
  <r>
    <s v="ORD1324"/>
    <x v="74"/>
    <x v="4"/>
    <x v="0"/>
    <x v="3"/>
    <x v="6"/>
    <n v="4"/>
    <n v="12.97"/>
    <n v="8.93"/>
    <n v="51.88"/>
    <n v="42.95"/>
    <n v="35.72"/>
  </r>
  <r>
    <s v="ORD1325"/>
    <x v="118"/>
    <x v="3"/>
    <x v="0"/>
    <x v="0"/>
    <x v="15"/>
    <n v="7"/>
    <n v="18.93"/>
    <n v="12.77"/>
    <n v="132.51"/>
    <n v="119.74"/>
    <n v="89.39"/>
  </r>
  <r>
    <s v="ORD1326"/>
    <x v="30"/>
    <x v="2"/>
    <x v="3"/>
    <x v="3"/>
    <x v="6"/>
    <n v="5"/>
    <n v="23.79"/>
    <n v="11.38"/>
    <n v="118.94999999999999"/>
    <n v="107.57"/>
    <n v="56.900000000000006"/>
  </r>
  <r>
    <s v="ORD1327"/>
    <x v="94"/>
    <x v="2"/>
    <x v="3"/>
    <x v="2"/>
    <x v="9"/>
    <n v="4"/>
    <n v="63.96"/>
    <n v="32.700000000000003"/>
    <n v="255.84"/>
    <n v="223.14"/>
    <n v="130.80000000000001"/>
  </r>
  <r>
    <s v="ORD1328"/>
    <x v="114"/>
    <x v="3"/>
    <x v="0"/>
    <x v="2"/>
    <x v="3"/>
    <n v="1"/>
    <n v="63.12"/>
    <n v="30.19"/>
    <n v="63.12"/>
    <n v="32.929999999999993"/>
    <n v="30.19"/>
  </r>
  <r>
    <s v="ORD1329"/>
    <x v="59"/>
    <x v="3"/>
    <x v="3"/>
    <x v="2"/>
    <x v="9"/>
    <n v="4"/>
    <n v="63.14"/>
    <n v="32.450000000000003"/>
    <n v="252.56"/>
    <n v="220.11"/>
    <n v="129.80000000000001"/>
  </r>
  <r>
    <s v="ORD1330"/>
    <x v="16"/>
    <x v="0"/>
    <x v="3"/>
    <x v="1"/>
    <x v="4"/>
    <n v="8"/>
    <n v="19.940000000000001"/>
    <n v="13.76"/>
    <n v="159.52000000000001"/>
    <n v="145.76000000000002"/>
    <n v="110.08"/>
  </r>
  <r>
    <s v="ORD1331"/>
    <x v="83"/>
    <x v="0"/>
    <x v="0"/>
    <x v="2"/>
    <x v="9"/>
    <n v="3"/>
    <n v="55.51"/>
    <n v="34.200000000000003"/>
    <n v="166.53"/>
    <n v="132.32999999999998"/>
    <n v="102.60000000000001"/>
  </r>
  <r>
    <s v="ORD1332"/>
    <x v="118"/>
    <x v="1"/>
    <x v="2"/>
    <x v="2"/>
    <x v="3"/>
    <n v="1"/>
    <n v="60.38"/>
    <n v="39.35"/>
    <n v="60.38"/>
    <n v="21.03"/>
    <n v="39.35"/>
  </r>
  <r>
    <s v="ORD1333"/>
    <x v="98"/>
    <x v="4"/>
    <x v="1"/>
    <x v="0"/>
    <x v="0"/>
    <n v="3"/>
    <n v="21.61"/>
    <n v="14.11"/>
    <n v="64.83"/>
    <n v="50.72"/>
    <n v="42.33"/>
  </r>
  <r>
    <s v="ORD1334"/>
    <x v="115"/>
    <x v="3"/>
    <x v="2"/>
    <x v="1"/>
    <x v="13"/>
    <n v="4"/>
    <n v="24.88"/>
    <n v="13.73"/>
    <n v="99.52"/>
    <n v="85.789999999999992"/>
    <n v="54.92"/>
  </r>
  <r>
    <s v="ORD1335"/>
    <x v="52"/>
    <x v="1"/>
    <x v="1"/>
    <x v="3"/>
    <x v="5"/>
    <n v="8"/>
    <n v="17.260000000000002"/>
    <n v="6.99"/>
    <n v="138.08000000000001"/>
    <n v="131.09"/>
    <n v="55.92"/>
  </r>
  <r>
    <s v="ORD1336"/>
    <x v="119"/>
    <x v="1"/>
    <x v="3"/>
    <x v="2"/>
    <x v="3"/>
    <n v="5"/>
    <n v="55.87"/>
    <n v="22.64"/>
    <n v="279.34999999999997"/>
    <n v="256.70999999999998"/>
    <n v="113.2"/>
  </r>
  <r>
    <s v="ORD1337"/>
    <x v="49"/>
    <x v="4"/>
    <x v="0"/>
    <x v="2"/>
    <x v="3"/>
    <n v="4"/>
    <n v="58.39"/>
    <n v="26.72"/>
    <n v="233.56"/>
    <n v="206.84"/>
    <n v="106.88"/>
  </r>
  <r>
    <s v="ORD1338"/>
    <x v="11"/>
    <x v="2"/>
    <x v="2"/>
    <x v="3"/>
    <x v="6"/>
    <n v="6"/>
    <n v="20.059999999999999"/>
    <n v="13.8"/>
    <n v="120.35999999999999"/>
    <n v="106.55999999999999"/>
    <n v="82.800000000000011"/>
  </r>
  <r>
    <s v="ORD1339"/>
    <x v="86"/>
    <x v="3"/>
    <x v="3"/>
    <x v="2"/>
    <x v="3"/>
    <n v="2"/>
    <n v="57.18"/>
    <n v="34.090000000000003"/>
    <n v="114.36"/>
    <n v="80.27"/>
    <n v="68.180000000000007"/>
  </r>
  <r>
    <s v="ORD1340"/>
    <x v="21"/>
    <x v="2"/>
    <x v="1"/>
    <x v="0"/>
    <x v="0"/>
    <n v="8"/>
    <n v="20.89"/>
    <n v="8.7100000000000009"/>
    <n v="167.12"/>
    <n v="158.41"/>
    <n v="69.680000000000007"/>
  </r>
  <r>
    <s v="ORD1341"/>
    <x v="107"/>
    <x v="2"/>
    <x v="1"/>
    <x v="0"/>
    <x v="14"/>
    <n v="6"/>
    <n v="26.22"/>
    <n v="14.94"/>
    <n v="157.32"/>
    <n v="142.38"/>
    <n v="89.64"/>
  </r>
  <r>
    <s v="ORD1342"/>
    <x v="118"/>
    <x v="4"/>
    <x v="0"/>
    <x v="0"/>
    <x v="1"/>
    <n v="4"/>
    <n v="26.22"/>
    <n v="17.579999999999998"/>
    <n v="104.88"/>
    <n v="87.3"/>
    <n v="70.319999999999993"/>
  </r>
  <r>
    <s v="ORD1343"/>
    <x v="51"/>
    <x v="4"/>
    <x v="3"/>
    <x v="2"/>
    <x v="9"/>
    <n v="1"/>
    <n v="57.47"/>
    <n v="26.08"/>
    <n v="57.47"/>
    <n v="31.39"/>
    <n v="26.08"/>
  </r>
  <r>
    <s v="ORD1344"/>
    <x v="44"/>
    <x v="1"/>
    <x v="0"/>
    <x v="3"/>
    <x v="5"/>
    <n v="7"/>
    <n v="15.64"/>
    <n v="10.61"/>
    <n v="109.48"/>
    <n v="98.87"/>
    <n v="74.27"/>
  </r>
  <r>
    <s v="ORD1345"/>
    <x v="114"/>
    <x v="3"/>
    <x v="1"/>
    <x v="3"/>
    <x v="7"/>
    <n v="6"/>
    <n v="19.16"/>
    <n v="9.8699999999999992"/>
    <n v="114.96000000000001"/>
    <n v="105.09"/>
    <n v="59.22"/>
  </r>
  <r>
    <s v="ORD1346"/>
    <x v="2"/>
    <x v="0"/>
    <x v="2"/>
    <x v="1"/>
    <x v="13"/>
    <n v="2"/>
    <n v="12.76"/>
    <n v="6.78"/>
    <n v="25.52"/>
    <n v="18.739999999999998"/>
    <n v="13.56"/>
  </r>
  <r>
    <s v="ORD1347"/>
    <x v="50"/>
    <x v="1"/>
    <x v="1"/>
    <x v="0"/>
    <x v="11"/>
    <n v="6"/>
    <n v="17.96"/>
    <n v="7.34"/>
    <n v="107.76"/>
    <n v="100.42"/>
    <n v="44.04"/>
  </r>
  <r>
    <s v="ORD1348"/>
    <x v="61"/>
    <x v="3"/>
    <x v="3"/>
    <x v="3"/>
    <x v="8"/>
    <n v="7"/>
    <n v="14.41"/>
    <n v="7.63"/>
    <n v="100.87"/>
    <n v="93.240000000000009"/>
    <n v="53.41"/>
  </r>
  <r>
    <s v="ORD1349"/>
    <x v="108"/>
    <x v="1"/>
    <x v="3"/>
    <x v="2"/>
    <x v="3"/>
    <n v="4"/>
    <n v="58.93"/>
    <n v="36.18"/>
    <n v="235.72"/>
    <n v="199.54"/>
    <n v="144.72"/>
  </r>
  <r>
    <s v="ORD1350"/>
    <x v="59"/>
    <x v="2"/>
    <x v="0"/>
    <x v="0"/>
    <x v="11"/>
    <n v="7"/>
    <n v="26.55"/>
    <n v="13.14"/>
    <n v="185.85"/>
    <n v="172.70999999999998"/>
    <n v="91.98"/>
  </r>
  <r>
    <s v="ORD1351"/>
    <x v="110"/>
    <x v="0"/>
    <x v="1"/>
    <x v="0"/>
    <x v="0"/>
    <n v="6"/>
    <n v="32.380000000000003"/>
    <n v="20.350000000000001"/>
    <n v="194.28000000000003"/>
    <n v="173.93000000000004"/>
    <n v="122.10000000000001"/>
  </r>
  <r>
    <s v="ORD1352"/>
    <x v="1"/>
    <x v="3"/>
    <x v="1"/>
    <x v="0"/>
    <x v="14"/>
    <n v="8"/>
    <n v="29.29"/>
    <n v="16.61"/>
    <n v="234.32"/>
    <n v="217.70999999999998"/>
    <n v="132.88"/>
  </r>
  <r>
    <s v="ORD1353"/>
    <x v="68"/>
    <x v="4"/>
    <x v="3"/>
    <x v="2"/>
    <x v="3"/>
    <n v="2"/>
    <n v="59.2"/>
    <n v="34.28"/>
    <n v="118.4"/>
    <n v="84.12"/>
    <n v="68.56"/>
  </r>
  <r>
    <s v="ORD1354"/>
    <x v="96"/>
    <x v="0"/>
    <x v="1"/>
    <x v="3"/>
    <x v="8"/>
    <n v="7"/>
    <n v="17.899999999999999"/>
    <n v="11.34"/>
    <n v="125.29999999999998"/>
    <n v="113.95999999999998"/>
    <n v="79.38"/>
  </r>
  <r>
    <s v="ORD1355"/>
    <x v="76"/>
    <x v="3"/>
    <x v="1"/>
    <x v="1"/>
    <x v="10"/>
    <n v="3"/>
    <n v="14.99"/>
    <n v="6.62"/>
    <n v="44.97"/>
    <n v="38.35"/>
    <n v="19.86"/>
  </r>
  <r>
    <s v="ORD1356"/>
    <x v="14"/>
    <x v="3"/>
    <x v="2"/>
    <x v="3"/>
    <x v="6"/>
    <n v="3"/>
    <n v="17.91"/>
    <n v="9.5"/>
    <n v="53.730000000000004"/>
    <n v="44.230000000000004"/>
    <n v="28.5"/>
  </r>
  <r>
    <s v="ORD1357"/>
    <x v="113"/>
    <x v="4"/>
    <x v="3"/>
    <x v="2"/>
    <x v="9"/>
    <n v="5"/>
    <n v="58.56"/>
    <n v="40.01"/>
    <n v="292.8"/>
    <n v="252.79000000000002"/>
    <n v="200.04999999999998"/>
  </r>
  <r>
    <s v="ORD1358"/>
    <x v="36"/>
    <x v="4"/>
    <x v="0"/>
    <x v="2"/>
    <x v="3"/>
    <n v="5"/>
    <n v="61.61"/>
    <n v="24.77"/>
    <n v="308.05"/>
    <n v="283.28000000000003"/>
    <n v="123.85"/>
  </r>
  <r>
    <s v="ORD1359"/>
    <x v="62"/>
    <x v="1"/>
    <x v="1"/>
    <x v="2"/>
    <x v="9"/>
    <n v="6"/>
    <n v="55.86"/>
    <n v="29.72"/>
    <n v="335.15999999999997"/>
    <n v="305.43999999999994"/>
    <n v="178.32"/>
  </r>
  <r>
    <s v="ORD1360"/>
    <x v="120"/>
    <x v="0"/>
    <x v="0"/>
    <x v="2"/>
    <x v="3"/>
    <n v="8"/>
    <n v="62.6"/>
    <n v="30.94"/>
    <n v="500.8"/>
    <n v="469.86"/>
    <n v="247.52"/>
  </r>
  <r>
    <s v="ORD1361"/>
    <x v="17"/>
    <x v="2"/>
    <x v="0"/>
    <x v="2"/>
    <x v="9"/>
    <n v="6"/>
    <n v="67.66"/>
    <n v="34.700000000000003"/>
    <n v="405.96"/>
    <n v="371.26"/>
    <n v="208.20000000000002"/>
  </r>
  <r>
    <s v="ORD1362"/>
    <x v="42"/>
    <x v="1"/>
    <x v="0"/>
    <x v="2"/>
    <x v="9"/>
    <n v="3"/>
    <n v="59.46"/>
    <n v="35.94"/>
    <n v="178.38"/>
    <n v="142.44"/>
    <n v="107.82"/>
  </r>
  <r>
    <s v="ORD1363"/>
    <x v="38"/>
    <x v="3"/>
    <x v="1"/>
    <x v="0"/>
    <x v="15"/>
    <n v="5"/>
    <n v="27.01"/>
    <n v="17.54"/>
    <n v="135.05000000000001"/>
    <n v="117.51000000000002"/>
    <n v="87.699999999999989"/>
  </r>
  <r>
    <s v="ORD1364"/>
    <x v="106"/>
    <x v="2"/>
    <x v="0"/>
    <x v="0"/>
    <x v="15"/>
    <n v="5"/>
    <n v="28.45"/>
    <n v="13.45"/>
    <n v="142.25"/>
    <n v="128.80000000000001"/>
    <n v="67.25"/>
  </r>
  <r>
    <s v="ORD1365"/>
    <x v="66"/>
    <x v="2"/>
    <x v="2"/>
    <x v="1"/>
    <x v="4"/>
    <n v="8"/>
    <n v="17.989999999999998"/>
    <n v="12.54"/>
    <n v="143.91999999999999"/>
    <n v="131.38"/>
    <n v="100.32"/>
  </r>
  <r>
    <s v="ORD1366"/>
    <x v="90"/>
    <x v="1"/>
    <x v="1"/>
    <x v="2"/>
    <x v="9"/>
    <n v="1"/>
    <n v="61.12"/>
    <n v="38.950000000000003"/>
    <n v="61.12"/>
    <n v="22.169999999999995"/>
    <n v="38.950000000000003"/>
  </r>
  <r>
    <s v="ORD1367"/>
    <x v="49"/>
    <x v="3"/>
    <x v="3"/>
    <x v="3"/>
    <x v="5"/>
    <n v="3"/>
    <n v="18.059999999999999"/>
    <n v="10.73"/>
    <n v="54.179999999999993"/>
    <n v="43.449999999999989"/>
    <n v="32.19"/>
  </r>
  <r>
    <s v="ORD1368"/>
    <x v="63"/>
    <x v="2"/>
    <x v="3"/>
    <x v="0"/>
    <x v="1"/>
    <n v="7"/>
    <n v="25.49"/>
    <n v="11.01"/>
    <n v="178.42999999999998"/>
    <n v="167.42"/>
    <n v="77.069999999999993"/>
  </r>
  <r>
    <s v="ORD1369"/>
    <x v="65"/>
    <x v="1"/>
    <x v="0"/>
    <x v="0"/>
    <x v="11"/>
    <n v="8"/>
    <n v="21.13"/>
    <n v="10.82"/>
    <n v="169.04"/>
    <n v="158.22"/>
    <n v="86.56"/>
  </r>
  <r>
    <s v="ORD1370"/>
    <x v="99"/>
    <x v="4"/>
    <x v="1"/>
    <x v="2"/>
    <x v="3"/>
    <n v="2"/>
    <n v="60.12"/>
    <n v="29.38"/>
    <n v="120.24"/>
    <n v="90.86"/>
    <n v="58.76"/>
  </r>
  <r>
    <s v="ORD1371"/>
    <x v="37"/>
    <x v="3"/>
    <x v="3"/>
    <x v="0"/>
    <x v="0"/>
    <n v="5"/>
    <n v="27.49"/>
    <n v="13.83"/>
    <n v="137.44999999999999"/>
    <n v="123.61999999999999"/>
    <n v="69.150000000000006"/>
  </r>
  <r>
    <s v="ORD1372"/>
    <x v="113"/>
    <x v="0"/>
    <x v="1"/>
    <x v="1"/>
    <x v="10"/>
    <n v="2"/>
    <n v="27.26"/>
    <n v="14.49"/>
    <n v="54.52"/>
    <n v="40.03"/>
    <n v="28.98"/>
  </r>
  <r>
    <s v="ORD1373"/>
    <x v="22"/>
    <x v="0"/>
    <x v="2"/>
    <x v="2"/>
    <x v="9"/>
    <n v="2"/>
    <n v="64.8"/>
    <n v="26.36"/>
    <n v="129.6"/>
    <n v="103.24"/>
    <n v="52.72"/>
  </r>
  <r>
    <s v="ORD1374"/>
    <x v="106"/>
    <x v="3"/>
    <x v="0"/>
    <x v="3"/>
    <x v="5"/>
    <n v="3"/>
    <n v="28.77"/>
    <n v="16.27"/>
    <n v="86.31"/>
    <n v="70.040000000000006"/>
    <n v="48.81"/>
  </r>
  <r>
    <s v="ORD1375"/>
    <x v="27"/>
    <x v="3"/>
    <x v="1"/>
    <x v="3"/>
    <x v="8"/>
    <n v="3"/>
    <n v="14.16"/>
    <n v="6.46"/>
    <n v="42.480000000000004"/>
    <n v="36.020000000000003"/>
    <n v="19.38"/>
  </r>
  <r>
    <s v="ORD1376"/>
    <x v="68"/>
    <x v="1"/>
    <x v="0"/>
    <x v="2"/>
    <x v="9"/>
    <n v="8"/>
    <n v="64.36"/>
    <n v="37.18"/>
    <n v="514.88"/>
    <n v="477.7"/>
    <n v="297.44"/>
  </r>
  <r>
    <s v="ORD1377"/>
    <x v="115"/>
    <x v="3"/>
    <x v="0"/>
    <x v="2"/>
    <x v="3"/>
    <n v="5"/>
    <n v="60.92"/>
    <n v="38.119999999999997"/>
    <n v="304.60000000000002"/>
    <n v="266.48"/>
    <n v="190.6"/>
  </r>
  <r>
    <s v="ORD1378"/>
    <x v="49"/>
    <x v="1"/>
    <x v="0"/>
    <x v="0"/>
    <x v="1"/>
    <n v="6"/>
    <n v="35.950000000000003"/>
    <n v="17.899999999999999"/>
    <n v="215.70000000000002"/>
    <n v="197.8"/>
    <n v="107.39999999999999"/>
  </r>
  <r>
    <s v="ORD1379"/>
    <x v="20"/>
    <x v="2"/>
    <x v="3"/>
    <x v="2"/>
    <x v="3"/>
    <n v="7"/>
    <n v="55.96"/>
    <n v="32.65"/>
    <n v="391.72"/>
    <n v="359.07000000000005"/>
    <n v="228.54999999999998"/>
  </r>
  <r>
    <s v="ORD1380"/>
    <x v="84"/>
    <x v="2"/>
    <x v="0"/>
    <x v="0"/>
    <x v="11"/>
    <n v="5"/>
    <n v="20.8"/>
    <n v="14.05"/>
    <n v="104"/>
    <n v="89.95"/>
    <n v="70.25"/>
  </r>
  <r>
    <s v="ORD1381"/>
    <x v="82"/>
    <x v="4"/>
    <x v="0"/>
    <x v="0"/>
    <x v="14"/>
    <n v="5"/>
    <n v="22"/>
    <n v="9.57"/>
    <n v="110"/>
    <n v="100.43"/>
    <n v="47.85"/>
  </r>
  <r>
    <s v="ORD1382"/>
    <x v="54"/>
    <x v="2"/>
    <x v="1"/>
    <x v="3"/>
    <x v="7"/>
    <n v="3"/>
    <n v="7.38"/>
    <n v="4.22"/>
    <n v="22.14"/>
    <n v="17.920000000000002"/>
    <n v="12.66"/>
  </r>
  <r>
    <s v="ORD1383"/>
    <x v="61"/>
    <x v="1"/>
    <x v="0"/>
    <x v="2"/>
    <x v="3"/>
    <n v="3"/>
    <n v="57.37"/>
    <n v="31.38"/>
    <n v="172.10999999999999"/>
    <n v="140.72999999999999"/>
    <n v="94.14"/>
  </r>
  <r>
    <s v="ORD1384"/>
    <x v="82"/>
    <x v="2"/>
    <x v="2"/>
    <x v="1"/>
    <x v="2"/>
    <n v="6"/>
    <n v="16.2"/>
    <n v="11.11"/>
    <n v="97.199999999999989"/>
    <n v="86.089999999999989"/>
    <n v="66.66"/>
  </r>
  <r>
    <s v="ORD1385"/>
    <x v="24"/>
    <x v="2"/>
    <x v="1"/>
    <x v="2"/>
    <x v="3"/>
    <n v="7"/>
    <n v="60.75"/>
    <n v="36.78"/>
    <n v="425.25"/>
    <n v="388.47"/>
    <n v="257.46000000000004"/>
  </r>
  <r>
    <s v="ORD1386"/>
    <x v="61"/>
    <x v="3"/>
    <x v="2"/>
    <x v="2"/>
    <x v="9"/>
    <n v="1"/>
    <n v="61.71"/>
    <n v="39.42"/>
    <n v="61.71"/>
    <n v="22.29"/>
    <n v="39.42"/>
  </r>
  <r>
    <s v="ORD1387"/>
    <x v="79"/>
    <x v="0"/>
    <x v="0"/>
    <x v="1"/>
    <x v="12"/>
    <n v="5"/>
    <n v="29.38"/>
    <n v="13.23"/>
    <n v="146.9"/>
    <n v="133.67000000000002"/>
    <n v="66.150000000000006"/>
  </r>
  <r>
    <s v="ORD1388"/>
    <x v="16"/>
    <x v="1"/>
    <x v="2"/>
    <x v="2"/>
    <x v="9"/>
    <n v="2"/>
    <n v="64.75"/>
    <n v="31.1"/>
    <n v="129.5"/>
    <n v="98.4"/>
    <n v="62.2"/>
  </r>
  <r>
    <s v="ORD1389"/>
    <x v="98"/>
    <x v="2"/>
    <x v="0"/>
    <x v="3"/>
    <x v="5"/>
    <n v="7"/>
    <n v="15.12"/>
    <n v="6.51"/>
    <n v="105.83999999999999"/>
    <n v="99.329999999999984"/>
    <n v="45.57"/>
  </r>
  <r>
    <s v="ORD1390"/>
    <x v="46"/>
    <x v="4"/>
    <x v="1"/>
    <x v="1"/>
    <x v="12"/>
    <n v="5"/>
    <n v="15.51"/>
    <n v="7.83"/>
    <n v="77.55"/>
    <n v="69.72"/>
    <n v="39.15"/>
  </r>
  <r>
    <s v="ORD1391"/>
    <x v="25"/>
    <x v="4"/>
    <x v="0"/>
    <x v="0"/>
    <x v="15"/>
    <n v="4"/>
    <n v="27.46"/>
    <n v="17.66"/>
    <n v="109.84"/>
    <n v="92.18"/>
    <n v="70.64"/>
  </r>
  <r>
    <s v="ORD1392"/>
    <x v="83"/>
    <x v="1"/>
    <x v="0"/>
    <x v="3"/>
    <x v="8"/>
    <n v="4"/>
    <n v="11.4"/>
    <n v="7.34"/>
    <n v="45.6"/>
    <n v="38.260000000000005"/>
    <n v="29.36"/>
  </r>
  <r>
    <s v="ORD1393"/>
    <x v="99"/>
    <x v="1"/>
    <x v="3"/>
    <x v="0"/>
    <x v="1"/>
    <n v="3"/>
    <n v="34.159999999999997"/>
    <n v="16.98"/>
    <n v="102.47999999999999"/>
    <n v="85.499999999999986"/>
    <n v="50.94"/>
  </r>
  <r>
    <s v="ORD1394"/>
    <x v="6"/>
    <x v="0"/>
    <x v="2"/>
    <x v="3"/>
    <x v="6"/>
    <n v="3"/>
    <n v="23.9"/>
    <n v="16.46"/>
    <n v="71.699999999999989"/>
    <n v="55.239999999999988"/>
    <n v="49.38"/>
  </r>
  <r>
    <s v="ORD1395"/>
    <x v="48"/>
    <x v="3"/>
    <x v="0"/>
    <x v="2"/>
    <x v="3"/>
    <n v="4"/>
    <n v="57.65"/>
    <n v="25.59"/>
    <n v="230.6"/>
    <n v="205.01"/>
    <n v="102.36"/>
  </r>
  <r>
    <s v="ORD1396"/>
    <x v="98"/>
    <x v="2"/>
    <x v="1"/>
    <x v="3"/>
    <x v="7"/>
    <n v="3"/>
    <n v="9.43"/>
    <n v="5.41"/>
    <n v="28.29"/>
    <n v="22.88"/>
    <n v="16.23"/>
  </r>
  <r>
    <s v="ORD1397"/>
    <x v="30"/>
    <x v="2"/>
    <x v="2"/>
    <x v="3"/>
    <x v="8"/>
    <n v="2"/>
    <n v="24.77"/>
    <n v="12.9"/>
    <n v="49.54"/>
    <n v="36.64"/>
    <n v="25.8"/>
  </r>
  <r>
    <s v="ORD1398"/>
    <x v="36"/>
    <x v="2"/>
    <x v="3"/>
    <x v="3"/>
    <x v="6"/>
    <n v="1"/>
    <n v="17.43"/>
    <n v="11.52"/>
    <n v="17.43"/>
    <n v="5.91"/>
    <n v="11.52"/>
  </r>
  <r>
    <s v="ORD1399"/>
    <x v="9"/>
    <x v="0"/>
    <x v="2"/>
    <x v="0"/>
    <x v="15"/>
    <n v="7"/>
    <n v="31.19"/>
    <n v="14.51"/>
    <n v="218.33"/>
    <n v="203.82000000000002"/>
    <n v="101.57"/>
  </r>
  <r>
    <s v="ORD1400"/>
    <x v="14"/>
    <x v="0"/>
    <x v="3"/>
    <x v="2"/>
    <x v="3"/>
    <n v="5"/>
    <n v="52.03"/>
    <n v="26.08"/>
    <n v="260.14999999999998"/>
    <n v="234.07"/>
    <n v="130.39999999999998"/>
  </r>
  <r>
    <s v="ORD1401"/>
    <x v="7"/>
    <x v="2"/>
    <x v="3"/>
    <x v="1"/>
    <x v="10"/>
    <n v="1"/>
    <n v="17"/>
    <n v="7.03"/>
    <n v="17"/>
    <n v="9.9699999999999989"/>
    <n v="7.03"/>
  </r>
  <r>
    <s v="ORD1402"/>
    <x v="78"/>
    <x v="3"/>
    <x v="1"/>
    <x v="2"/>
    <x v="3"/>
    <n v="8"/>
    <n v="60.03"/>
    <n v="24.02"/>
    <n v="480.24"/>
    <n v="456.22"/>
    <n v="192.16"/>
  </r>
  <r>
    <s v="ORD1403"/>
    <x v="93"/>
    <x v="3"/>
    <x v="3"/>
    <x v="2"/>
    <x v="3"/>
    <n v="3"/>
    <n v="60.23"/>
    <n v="39.89"/>
    <n v="180.69"/>
    <n v="140.80000000000001"/>
    <n v="119.67"/>
  </r>
  <r>
    <s v="ORD1404"/>
    <x v="28"/>
    <x v="0"/>
    <x v="3"/>
    <x v="3"/>
    <x v="5"/>
    <n v="2"/>
    <n v="15.75"/>
    <n v="8.06"/>
    <n v="31.5"/>
    <n v="23.439999999999998"/>
    <n v="16.12"/>
  </r>
  <r>
    <s v="ORD1405"/>
    <x v="104"/>
    <x v="0"/>
    <x v="0"/>
    <x v="1"/>
    <x v="13"/>
    <n v="7"/>
    <n v="23.11"/>
    <n v="13.79"/>
    <n v="161.76999999999998"/>
    <n v="147.97999999999999"/>
    <n v="96.53"/>
  </r>
  <r>
    <s v="ORD1406"/>
    <x v="23"/>
    <x v="2"/>
    <x v="2"/>
    <x v="0"/>
    <x v="0"/>
    <n v="3"/>
    <n v="19.66"/>
    <n v="11.37"/>
    <n v="58.980000000000004"/>
    <n v="47.610000000000007"/>
    <n v="34.11"/>
  </r>
  <r>
    <s v="ORD1407"/>
    <x v="96"/>
    <x v="0"/>
    <x v="2"/>
    <x v="2"/>
    <x v="3"/>
    <n v="7"/>
    <n v="59.29"/>
    <n v="36.06"/>
    <n v="415.03"/>
    <n v="378.96999999999997"/>
    <n v="252.42000000000002"/>
  </r>
  <r>
    <s v="ORD1408"/>
    <x v="72"/>
    <x v="2"/>
    <x v="2"/>
    <x v="2"/>
    <x v="3"/>
    <n v="2"/>
    <n v="60.6"/>
    <n v="26.12"/>
    <n v="121.2"/>
    <n v="95.08"/>
    <n v="52.24"/>
  </r>
  <r>
    <s v="ORD1409"/>
    <x v="92"/>
    <x v="2"/>
    <x v="0"/>
    <x v="3"/>
    <x v="6"/>
    <n v="3"/>
    <n v="20.57"/>
    <n v="8.65"/>
    <n v="61.71"/>
    <n v="53.06"/>
    <n v="25.950000000000003"/>
  </r>
  <r>
    <s v="ORD1410"/>
    <x v="28"/>
    <x v="3"/>
    <x v="1"/>
    <x v="0"/>
    <x v="1"/>
    <n v="6"/>
    <n v="28.56"/>
    <n v="17.61"/>
    <n v="171.35999999999999"/>
    <n v="153.75"/>
    <n v="105.66"/>
  </r>
  <r>
    <s v="ORD1411"/>
    <x v="53"/>
    <x v="2"/>
    <x v="0"/>
    <x v="1"/>
    <x v="4"/>
    <n v="2"/>
    <n v="14.38"/>
    <n v="9.6199999999999992"/>
    <n v="28.76"/>
    <n v="19.14"/>
    <n v="19.239999999999998"/>
  </r>
  <r>
    <s v="ORD1412"/>
    <x v="105"/>
    <x v="2"/>
    <x v="3"/>
    <x v="1"/>
    <x v="13"/>
    <n v="7"/>
    <n v="12.33"/>
    <n v="6.1"/>
    <n v="86.31"/>
    <n v="80.210000000000008"/>
    <n v="42.699999999999996"/>
  </r>
  <r>
    <s v="ORD1413"/>
    <x v="48"/>
    <x v="4"/>
    <x v="0"/>
    <x v="1"/>
    <x v="2"/>
    <n v="5"/>
    <n v="26.39"/>
    <n v="16.72"/>
    <n v="131.94999999999999"/>
    <n v="115.22999999999999"/>
    <n v="83.6"/>
  </r>
  <r>
    <s v="ORD1414"/>
    <x v="44"/>
    <x v="1"/>
    <x v="0"/>
    <x v="0"/>
    <x v="11"/>
    <n v="7"/>
    <n v="26.66"/>
    <n v="13.03"/>
    <n v="186.62"/>
    <n v="173.59"/>
    <n v="91.21"/>
  </r>
  <r>
    <s v="ORD1415"/>
    <x v="14"/>
    <x v="2"/>
    <x v="2"/>
    <x v="0"/>
    <x v="14"/>
    <n v="4"/>
    <n v="21.26"/>
    <n v="11.69"/>
    <n v="85.04"/>
    <n v="73.350000000000009"/>
    <n v="46.76"/>
  </r>
  <r>
    <s v="ORD1416"/>
    <x v="12"/>
    <x v="4"/>
    <x v="3"/>
    <x v="0"/>
    <x v="1"/>
    <n v="6"/>
    <n v="32.76"/>
    <n v="14.4"/>
    <n v="196.56"/>
    <n v="182.16"/>
    <n v="86.4"/>
  </r>
  <r>
    <s v="ORD1417"/>
    <x v="95"/>
    <x v="3"/>
    <x v="1"/>
    <x v="2"/>
    <x v="9"/>
    <n v="2"/>
    <n v="60.58"/>
    <n v="24.54"/>
    <n v="121.16"/>
    <n v="96.62"/>
    <n v="49.08"/>
  </r>
  <r>
    <s v="ORD1418"/>
    <x v="20"/>
    <x v="3"/>
    <x v="2"/>
    <x v="0"/>
    <x v="0"/>
    <n v="1"/>
    <n v="30.9"/>
    <n v="21.15"/>
    <n v="30.9"/>
    <n v="9.75"/>
    <n v="21.15"/>
  </r>
  <r>
    <s v="ORD1419"/>
    <x v="77"/>
    <x v="1"/>
    <x v="1"/>
    <x v="2"/>
    <x v="9"/>
    <n v="7"/>
    <n v="60.34"/>
    <n v="36.840000000000003"/>
    <n v="422.38"/>
    <n v="385.53999999999996"/>
    <n v="257.88"/>
  </r>
  <r>
    <s v="ORD1420"/>
    <x v="90"/>
    <x v="1"/>
    <x v="0"/>
    <x v="0"/>
    <x v="1"/>
    <n v="5"/>
    <n v="35.299999999999997"/>
    <n v="15.01"/>
    <n v="176.5"/>
    <n v="161.49"/>
    <n v="75.05"/>
  </r>
  <r>
    <s v="ORD1421"/>
    <x v="118"/>
    <x v="3"/>
    <x v="0"/>
    <x v="0"/>
    <x v="1"/>
    <n v="6"/>
    <n v="33.78"/>
    <n v="17.47"/>
    <n v="202.68"/>
    <n v="185.21"/>
    <n v="104.82"/>
  </r>
  <r>
    <s v="ORD1422"/>
    <x v="86"/>
    <x v="2"/>
    <x v="0"/>
    <x v="0"/>
    <x v="11"/>
    <n v="1"/>
    <n v="23.76"/>
    <n v="11.25"/>
    <n v="23.76"/>
    <n v="12.510000000000002"/>
    <n v="11.25"/>
  </r>
  <r>
    <s v="ORD1423"/>
    <x v="36"/>
    <x v="1"/>
    <x v="2"/>
    <x v="2"/>
    <x v="3"/>
    <n v="5"/>
    <n v="64.86"/>
    <n v="38.9"/>
    <n v="324.3"/>
    <n v="285.40000000000003"/>
    <n v="194.5"/>
  </r>
  <r>
    <s v="ORD1424"/>
    <x v="96"/>
    <x v="3"/>
    <x v="2"/>
    <x v="1"/>
    <x v="13"/>
    <n v="3"/>
    <n v="23.23"/>
    <n v="12.75"/>
    <n v="69.69"/>
    <n v="56.94"/>
    <n v="38.25"/>
  </r>
  <r>
    <s v="ORD1425"/>
    <x v="83"/>
    <x v="0"/>
    <x v="0"/>
    <x v="3"/>
    <x v="6"/>
    <n v="5"/>
    <n v="24.84"/>
    <n v="15.4"/>
    <n v="124.2"/>
    <n v="108.8"/>
    <n v="77"/>
  </r>
  <r>
    <s v="ORD1426"/>
    <x v="41"/>
    <x v="2"/>
    <x v="3"/>
    <x v="0"/>
    <x v="0"/>
    <n v="2"/>
    <n v="20.18"/>
    <n v="9.66"/>
    <n v="40.36"/>
    <n v="30.7"/>
    <n v="19.32"/>
  </r>
  <r>
    <s v="ORD1427"/>
    <x v="36"/>
    <x v="1"/>
    <x v="3"/>
    <x v="0"/>
    <x v="15"/>
    <n v="1"/>
    <n v="28.43"/>
    <n v="15.63"/>
    <n v="28.43"/>
    <n v="12.799999999999999"/>
    <n v="15.63"/>
  </r>
  <r>
    <s v="ORD1428"/>
    <x v="101"/>
    <x v="0"/>
    <x v="2"/>
    <x v="1"/>
    <x v="12"/>
    <n v="2"/>
    <n v="25.29"/>
    <n v="11.85"/>
    <n v="50.58"/>
    <n v="38.729999999999997"/>
    <n v="23.7"/>
  </r>
  <r>
    <s v="ORD1429"/>
    <x v="7"/>
    <x v="4"/>
    <x v="0"/>
    <x v="0"/>
    <x v="0"/>
    <n v="1"/>
    <n v="16.21"/>
    <n v="8.7799999999999994"/>
    <n v="16.21"/>
    <n v="7.4300000000000015"/>
    <n v="8.7799999999999994"/>
  </r>
  <r>
    <s v="ORD1430"/>
    <x v="103"/>
    <x v="4"/>
    <x v="1"/>
    <x v="2"/>
    <x v="3"/>
    <n v="4"/>
    <n v="54.08"/>
    <n v="26.85"/>
    <n v="216.32"/>
    <n v="189.47"/>
    <n v="107.4"/>
  </r>
  <r>
    <s v="ORD1431"/>
    <x v="11"/>
    <x v="4"/>
    <x v="3"/>
    <x v="2"/>
    <x v="9"/>
    <n v="2"/>
    <n v="49.8"/>
    <n v="27.42"/>
    <n v="99.6"/>
    <n v="72.179999999999993"/>
    <n v="54.84"/>
  </r>
  <r>
    <s v="ORD1432"/>
    <x v="65"/>
    <x v="1"/>
    <x v="2"/>
    <x v="0"/>
    <x v="14"/>
    <n v="7"/>
    <n v="23.65"/>
    <n v="9.9499999999999993"/>
    <n v="165.54999999999998"/>
    <n v="155.6"/>
    <n v="69.649999999999991"/>
  </r>
  <r>
    <s v="ORD1433"/>
    <x v="18"/>
    <x v="0"/>
    <x v="3"/>
    <x v="2"/>
    <x v="9"/>
    <n v="2"/>
    <n v="63.59"/>
    <n v="35.99"/>
    <n v="127.18"/>
    <n v="91.19"/>
    <n v="71.98"/>
  </r>
  <r>
    <s v="ORD1434"/>
    <x v="85"/>
    <x v="0"/>
    <x v="3"/>
    <x v="0"/>
    <x v="11"/>
    <n v="4"/>
    <n v="32.51"/>
    <n v="17.53"/>
    <n v="130.04"/>
    <n v="112.50999999999999"/>
    <n v="70.12"/>
  </r>
  <r>
    <s v="ORD1435"/>
    <x v="5"/>
    <x v="1"/>
    <x v="0"/>
    <x v="2"/>
    <x v="3"/>
    <n v="3"/>
    <n v="60.37"/>
    <n v="24.26"/>
    <n v="181.10999999999999"/>
    <n v="156.85"/>
    <n v="72.78"/>
  </r>
  <r>
    <s v="ORD1436"/>
    <x v="72"/>
    <x v="1"/>
    <x v="3"/>
    <x v="2"/>
    <x v="3"/>
    <n v="1"/>
    <n v="68.14"/>
    <n v="46.7"/>
    <n v="68.14"/>
    <n v="21.439999999999998"/>
    <n v="46.7"/>
  </r>
  <r>
    <s v="ORD1437"/>
    <x v="89"/>
    <x v="0"/>
    <x v="2"/>
    <x v="0"/>
    <x v="15"/>
    <n v="4"/>
    <n v="18.100000000000001"/>
    <n v="10.119999999999999"/>
    <n v="72.400000000000006"/>
    <n v="62.280000000000008"/>
    <n v="40.479999999999997"/>
  </r>
  <r>
    <s v="ORD1438"/>
    <x v="61"/>
    <x v="4"/>
    <x v="0"/>
    <x v="1"/>
    <x v="4"/>
    <n v="5"/>
    <n v="11.48"/>
    <n v="4.91"/>
    <n v="57.400000000000006"/>
    <n v="52.490000000000009"/>
    <n v="24.55"/>
  </r>
  <r>
    <s v="ORD1439"/>
    <x v="29"/>
    <x v="0"/>
    <x v="1"/>
    <x v="1"/>
    <x v="10"/>
    <n v="2"/>
    <n v="19.72"/>
    <n v="11.32"/>
    <n v="39.44"/>
    <n v="28.119999999999997"/>
    <n v="22.64"/>
  </r>
  <r>
    <s v="ORD1440"/>
    <x v="58"/>
    <x v="1"/>
    <x v="2"/>
    <x v="1"/>
    <x v="4"/>
    <n v="7"/>
    <n v="21.92"/>
    <n v="13.12"/>
    <n v="153.44"/>
    <n v="140.32"/>
    <n v="91.839999999999989"/>
  </r>
  <r>
    <s v="ORD1441"/>
    <x v="17"/>
    <x v="0"/>
    <x v="3"/>
    <x v="1"/>
    <x v="2"/>
    <n v="7"/>
    <n v="19.84"/>
    <n v="12.11"/>
    <n v="138.88"/>
    <n v="126.77"/>
    <n v="84.77"/>
  </r>
  <r>
    <s v="ORD1442"/>
    <x v="3"/>
    <x v="0"/>
    <x v="0"/>
    <x v="3"/>
    <x v="6"/>
    <n v="2"/>
    <n v="7.66"/>
    <n v="5.23"/>
    <n v="15.32"/>
    <n v="10.09"/>
    <n v="10.46"/>
  </r>
  <r>
    <s v="ORD1443"/>
    <x v="49"/>
    <x v="3"/>
    <x v="2"/>
    <x v="1"/>
    <x v="10"/>
    <n v="3"/>
    <n v="19.55"/>
    <n v="10.46"/>
    <n v="58.650000000000006"/>
    <n v="48.190000000000005"/>
    <n v="31.380000000000003"/>
  </r>
  <r>
    <s v="ORD1444"/>
    <x v="78"/>
    <x v="1"/>
    <x v="3"/>
    <x v="3"/>
    <x v="8"/>
    <n v="4"/>
    <n v="11.48"/>
    <n v="6.15"/>
    <n v="45.92"/>
    <n v="39.770000000000003"/>
    <n v="24.6"/>
  </r>
  <r>
    <s v="ORD1445"/>
    <x v="7"/>
    <x v="4"/>
    <x v="2"/>
    <x v="2"/>
    <x v="9"/>
    <n v="3"/>
    <n v="63.35"/>
    <n v="40.69"/>
    <n v="190.05"/>
    <n v="149.36000000000001"/>
    <n v="122.07"/>
  </r>
  <r>
    <s v="ORD1446"/>
    <x v="23"/>
    <x v="0"/>
    <x v="0"/>
    <x v="3"/>
    <x v="5"/>
    <n v="2"/>
    <n v="19.829999999999998"/>
    <n v="12.16"/>
    <n v="39.659999999999997"/>
    <n v="27.499999999999996"/>
    <n v="24.32"/>
  </r>
  <r>
    <s v="ORD1447"/>
    <x v="54"/>
    <x v="4"/>
    <x v="3"/>
    <x v="3"/>
    <x v="8"/>
    <n v="5"/>
    <n v="13.3"/>
    <n v="8.59"/>
    <n v="66.5"/>
    <n v="57.91"/>
    <n v="42.95"/>
  </r>
  <r>
    <s v="ORD1448"/>
    <x v="21"/>
    <x v="2"/>
    <x v="0"/>
    <x v="1"/>
    <x v="13"/>
    <n v="2"/>
    <n v="17.43"/>
    <n v="9.39"/>
    <n v="34.86"/>
    <n v="25.47"/>
    <n v="18.78"/>
  </r>
  <r>
    <s v="ORD1449"/>
    <x v="96"/>
    <x v="4"/>
    <x v="0"/>
    <x v="1"/>
    <x v="13"/>
    <n v="3"/>
    <n v="14.7"/>
    <n v="6.75"/>
    <n v="44.099999999999994"/>
    <n v="37.349999999999994"/>
    <n v="20.25"/>
  </r>
  <r>
    <s v="ORD1450"/>
    <x v="10"/>
    <x v="4"/>
    <x v="3"/>
    <x v="2"/>
    <x v="9"/>
    <n v="2"/>
    <n v="59.69"/>
    <n v="24.27"/>
    <n v="119.38"/>
    <n v="95.11"/>
    <n v="48.54"/>
  </r>
  <r>
    <s v="ORD1451"/>
    <x v="60"/>
    <x v="2"/>
    <x v="0"/>
    <x v="0"/>
    <x v="14"/>
    <n v="2"/>
    <n v="29.78"/>
    <n v="20"/>
    <n v="59.56"/>
    <n v="39.56"/>
    <n v="40"/>
  </r>
  <r>
    <s v="ORD1452"/>
    <x v="51"/>
    <x v="2"/>
    <x v="2"/>
    <x v="3"/>
    <x v="5"/>
    <n v="3"/>
    <n v="13.07"/>
    <n v="8.85"/>
    <n v="39.21"/>
    <n v="30.36"/>
    <n v="26.549999999999997"/>
  </r>
  <r>
    <s v="ORD1453"/>
    <x v="14"/>
    <x v="4"/>
    <x v="1"/>
    <x v="2"/>
    <x v="9"/>
    <n v="7"/>
    <n v="62.52"/>
    <n v="28.25"/>
    <n v="437.64000000000004"/>
    <n v="409.39000000000004"/>
    <n v="197.75"/>
  </r>
  <r>
    <s v="ORD1454"/>
    <x v="48"/>
    <x v="0"/>
    <x v="1"/>
    <x v="1"/>
    <x v="2"/>
    <n v="3"/>
    <n v="17.350000000000001"/>
    <n v="7.12"/>
    <n v="52.050000000000004"/>
    <n v="44.930000000000007"/>
    <n v="21.36"/>
  </r>
  <r>
    <s v="ORD1455"/>
    <x v="14"/>
    <x v="2"/>
    <x v="1"/>
    <x v="1"/>
    <x v="12"/>
    <n v="1"/>
    <n v="16.04"/>
    <n v="6.84"/>
    <n v="16.04"/>
    <n v="9.1999999999999993"/>
    <n v="6.84"/>
  </r>
  <r>
    <s v="ORD1456"/>
    <x v="116"/>
    <x v="3"/>
    <x v="0"/>
    <x v="2"/>
    <x v="3"/>
    <n v="1"/>
    <n v="59.46"/>
    <n v="41.43"/>
    <n v="59.46"/>
    <n v="18.03"/>
    <n v="41.43"/>
  </r>
  <r>
    <s v="ORD1457"/>
    <x v="95"/>
    <x v="2"/>
    <x v="3"/>
    <x v="3"/>
    <x v="8"/>
    <n v="6"/>
    <n v="12.82"/>
    <n v="6.62"/>
    <n v="76.92"/>
    <n v="70.3"/>
    <n v="39.72"/>
  </r>
  <r>
    <s v="ORD1458"/>
    <x v="82"/>
    <x v="1"/>
    <x v="0"/>
    <x v="1"/>
    <x v="13"/>
    <n v="1"/>
    <n v="17.23"/>
    <n v="11.52"/>
    <n v="17.23"/>
    <n v="5.7100000000000009"/>
    <n v="11.52"/>
  </r>
  <r>
    <s v="ORD1459"/>
    <x v="112"/>
    <x v="2"/>
    <x v="3"/>
    <x v="3"/>
    <x v="5"/>
    <n v="4"/>
    <n v="12.01"/>
    <n v="8.31"/>
    <n v="48.04"/>
    <n v="39.729999999999997"/>
    <n v="33.24"/>
  </r>
  <r>
    <s v="ORD1460"/>
    <x v="70"/>
    <x v="3"/>
    <x v="3"/>
    <x v="0"/>
    <x v="14"/>
    <n v="1"/>
    <n v="34.82"/>
    <n v="21.91"/>
    <n v="34.82"/>
    <n v="12.91"/>
    <n v="21.91"/>
  </r>
  <r>
    <s v="ORD1461"/>
    <x v="89"/>
    <x v="2"/>
    <x v="3"/>
    <x v="1"/>
    <x v="10"/>
    <n v="3"/>
    <n v="20.18"/>
    <n v="9.14"/>
    <n v="60.54"/>
    <n v="51.4"/>
    <n v="27.42"/>
  </r>
  <r>
    <s v="ORD1462"/>
    <x v="74"/>
    <x v="1"/>
    <x v="2"/>
    <x v="3"/>
    <x v="6"/>
    <n v="6"/>
    <n v="14.5"/>
    <n v="9.92"/>
    <n v="87"/>
    <n v="77.08"/>
    <n v="59.519999999999996"/>
  </r>
  <r>
    <s v="ORD1463"/>
    <x v="24"/>
    <x v="2"/>
    <x v="3"/>
    <x v="1"/>
    <x v="10"/>
    <n v="3"/>
    <n v="21.07"/>
    <n v="11.53"/>
    <n v="63.21"/>
    <n v="51.68"/>
    <n v="34.589999999999996"/>
  </r>
  <r>
    <s v="ORD1464"/>
    <x v="72"/>
    <x v="1"/>
    <x v="0"/>
    <x v="0"/>
    <x v="0"/>
    <n v="1"/>
    <n v="24.44"/>
    <n v="13.64"/>
    <n v="24.44"/>
    <n v="10.8"/>
    <n v="13.64"/>
  </r>
  <r>
    <s v="ORD1465"/>
    <x v="118"/>
    <x v="1"/>
    <x v="0"/>
    <x v="0"/>
    <x v="11"/>
    <n v="3"/>
    <n v="23.9"/>
    <n v="12"/>
    <n v="71.699999999999989"/>
    <n v="59.699999999999989"/>
    <n v="36"/>
  </r>
  <r>
    <s v="ORD1466"/>
    <x v="33"/>
    <x v="4"/>
    <x v="0"/>
    <x v="1"/>
    <x v="12"/>
    <n v="3"/>
    <n v="23.07"/>
    <n v="14.59"/>
    <n v="69.210000000000008"/>
    <n v="54.620000000000005"/>
    <n v="43.769999999999996"/>
  </r>
  <r>
    <s v="ORD1467"/>
    <x v="8"/>
    <x v="2"/>
    <x v="2"/>
    <x v="3"/>
    <x v="5"/>
    <n v="6"/>
    <n v="21.79"/>
    <n v="10.69"/>
    <n v="130.74"/>
    <n v="120.05000000000001"/>
    <n v="64.14"/>
  </r>
  <r>
    <s v="ORD1468"/>
    <x v="5"/>
    <x v="2"/>
    <x v="1"/>
    <x v="1"/>
    <x v="2"/>
    <n v="6"/>
    <n v="17.350000000000001"/>
    <n v="7.85"/>
    <n v="104.10000000000001"/>
    <n v="96.250000000000014"/>
    <n v="47.099999999999994"/>
  </r>
  <r>
    <s v="ORD1469"/>
    <x v="35"/>
    <x v="1"/>
    <x v="0"/>
    <x v="3"/>
    <x v="7"/>
    <n v="7"/>
    <n v="15.12"/>
    <n v="7.44"/>
    <n v="105.83999999999999"/>
    <n v="98.399999999999991"/>
    <n v="52.080000000000005"/>
  </r>
  <r>
    <s v="ORD1470"/>
    <x v="103"/>
    <x v="4"/>
    <x v="1"/>
    <x v="3"/>
    <x v="7"/>
    <n v="1"/>
    <n v="16.62"/>
    <n v="7.56"/>
    <n v="16.62"/>
    <n v="9.0600000000000023"/>
    <n v="7.56"/>
  </r>
  <r>
    <s v="ORD1471"/>
    <x v="9"/>
    <x v="1"/>
    <x v="2"/>
    <x v="3"/>
    <x v="7"/>
    <n v="8"/>
    <n v="6.49"/>
    <n v="2.87"/>
    <n v="51.92"/>
    <n v="49.050000000000004"/>
    <n v="22.96"/>
  </r>
  <r>
    <s v="ORD1472"/>
    <x v="99"/>
    <x v="0"/>
    <x v="0"/>
    <x v="0"/>
    <x v="14"/>
    <n v="2"/>
    <n v="17.420000000000002"/>
    <n v="11.26"/>
    <n v="34.840000000000003"/>
    <n v="23.580000000000005"/>
    <n v="22.52"/>
  </r>
  <r>
    <s v="ORD1473"/>
    <x v="96"/>
    <x v="0"/>
    <x v="0"/>
    <x v="3"/>
    <x v="8"/>
    <n v="4"/>
    <n v="24.83"/>
    <n v="15.1"/>
    <n v="99.32"/>
    <n v="84.22"/>
    <n v="60.4"/>
  </r>
  <r>
    <s v="ORD1474"/>
    <x v="87"/>
    <x v="4"/>
    <x v="2"/>
    <x v="3"/>
    <x v="6"/>
    <n v="1"/>
    <n v="26.22"/>
    <n v="13.52"/>
    <n v="26.22"/>
    <n v="12.7"/>
    <n v="13.52"/>
  </r>
  <r>
    <s v="ORD1475"/>
    <x v="12"/>
    <x v="2"/>
    <x v="1"/>
    <x v="2"/>
    <x v="3"/>
    <n v="7"/>
    <n v="58.75"/>
    <n v="29.69"/>
    <n v="411.25"/>
    <n v="381.56"/>
    <n v="207.83"/>
  </r>
  <r>
    <s v="ORD1476"/>
    <x v="37"/>
    <x v="2"/>
    <x v="0"/>
    <x v="2"/>
    <x v="3"/>
    <n v="3"/>
    <n v="62.88"/>
    <n v="33.67"/>
    <n v="188.64000000000001"/>
    <n v="154.97000000000003"/>
    <n v="101.01"/>
  </r>
  <r>
    <s v="ORD1477"/>
    <x v="119"/>
    <x v="0"/>
    <x v="3"/>
    <x v="0"/>
    <x v="11"/>
    <n v="2"/>
    <n v="26.56"/>
    <n v="11.22"/>
    <n v="53.12"/>
    <n v="41.9"/>
    <n v="22.44"/>
  </r>
  <r>
    <s v="ORD1478"/>
    <x v="101"/>
    <x v="4"/>
    <x v="2"/>
    <x v="1"/>
    <x v="4"/>
    <n v="6"/>
    <n v="35.39"/>
    <n v="20.46"/>
    <n v="212.34"/>
    <n v="191.88"/>
    <n v="122.76"/>
  </r>
  <r>
    <s v="ORD1479"/>
    <x v="102"/>
    <x v="3"/>
    <x v="1"/>
    <x v="2"/>
    <x v="3"/>
    <n v="3"/>
    <n v="65.599999999999994"/>
    <n v="27.29"/>
    <n v="196.79999999999998"/>
    <n v="169.51"/>
    <n v="81.87"/>
  </r>
  <r>
    <s v="ORD1480"/>
    <x v="24"/>
    <x v="2"/>
    <x v="3"/>
    <x v="3"/>
    <x v="7"/>
    <n v="5"/>
    <n v="17.36"/>
    <n v="8.49"/>
    <n v="86.8"/>
    <n v="78.31"/>
    <n v="42.45"/>
  </r>
  <r>
    <s v="ORD1481"/>
    <x v="104"/>
    <x v="1"/>
    <x v="1"/>
    <x v="0"/>
    <x v="0"/>
    <n v="3"/>
    <n v="20.22"/>
    <n v="8.42"/>
    <n v="60.66"/>
    <n v="52.239999999999995"/>
    <n v="25.259999999999998"/>
  </r>
  <r>
    <s v="ORD1482"/>
    <x v="1"/>
    <x v="0"/>
    <x v="1"/>
    <x v="0"/>
    <x v="15"/>
    <n v="4"/>
    <n v="16.97"/>
    <n v="7.28"/>
    <n v="67.88"/>
    <n v="60.599999999999994"/>
    <n v="29.12"/>
  </r>
  <r>
    <s v="ORD1483"/>
    <x v="9"/>
    <x v="0"/>
    <x v="2"/>
    <x v="1"/>
    <x v="2"/>
    <n v="8"/>
    <n v="21.02"/>
    <n v="13.73"/>
    <n v="168.16"/>
    <n v="154.43"/>
    <n v="109.84"/>
  </r>
  <r>
    <s v="ORD1484"/>
    <x v="81"/>
    <x v="2"/>
    <x v="3"/>
    <x v="3"/>
    <x v="8"/>
    <n v="2"/>
    <n v="14.22"/>
    <n v="8.43"/>
    <n v="28.44"/>
    <n v="20.010000000000002"/>
    <n v="16.86"/>
  </r>
  <r>
    <s v="ORD1485"/>
    <x v="8"/>
    <x v="2"/>
    <x v="3"/>
    <x v="2"/>
    <x v="3"/>
    <n v="3"/>
    <n v="52.89"/>
    <n v="28.23"/>
    <n v="158.67000000000002"/>
    <n v="130.44000000000003"/>
    <n v="84.69"/>
  </r>
  <r>
    <s v="ORD1486"/>
    <x v="27"/>
    <x v="0"/>
    <x v="0"/>
    <x v="3"/>
    <x v="8"/>
    <n v="5"/>
    <n v="14.77"/>
    <n v="8.41"/>
    <n v="73.849999999999994"/>
    <n v="65.44"/>
    <n v="42.05"/>
  </r>
  <r>
    <s v="ORD1487"/>
    <x v="107"/>
    <x v="0"/>
    <x v="1"/>
    <x v="1"/>
    <x v="13"/>
    <n v="4"/>
    <n v="14.59"/>
    <n v="8.26"/>
    <n v="58.36"/>
    <n v="50.1"/>
    <n v="33.04"/>
  </r>
  <r>
    <s v="ORD1488"/>
    <x v="90"/>
    <x v="2"/>
    <x v="0"/>
    <x v="2"/>
    <x v="9"/>
    <n v="8"/>
    <n v="68.44"/>
    <n v="33.51"/>
    <n v="547.52"/>
    <n v="514.01"/>
    <n v="268.08"/>
  </r>
  <r>
    <s v="ORD1489"/>
    <x v="2"/>
    <x v="1"/>
    <x v="0"/>
    <x v="2"/>
    <x v="3"/>
    <n v="2"/>
    <n v="64.41"/>
    <n v="44.11"/>
    <n v="128.82"/>
    <n v="84.71"/>
    <n v="88.22"/>
  </r>
  <r>
    <s v="ORD1490"/>
    <x v="83"/>
    <x v="3"/>
    <x v="0"/>
    <x v="2"/>
    <x v="3"/>
    <n v="3"/>
    <n v="59.96"/>
    <n v="24.75"/>
    <n v="179.88"/>
    <n v="155.13"/>
    <n v="74.25"/>
  </r>
  <r>
    <s v="ORD1491"/>
    <x v="85"/>
    <x v="3"/>
    <x v="3"/>
    <x v="0"/>
    <x v="15"/>
    <n v="6"/>
    <n v="32.4"/>
    <n v="21.81"/>
    <n v="194.39999999999998"/>
    <n v="172.58999999999997"/>
    <n v="130.85999999999999"/>
  </r>
  <r>
    <s v="ORD1492"/>
    <x v="109"/>
    <x v="1"/>
    <x v="1"/>
    <x v="0"/>
    <x v="0"/>
    <n v="6"/>
    <n v="25.39"/>
    <n v="16.68"/>
    <n v="152.34"/>
    <n v="135.66"/>
    <n v="100.08"/>
  </r>
  <r>
    <s v="ORD1493"/>
    <x v="87"/>
    <x v="1"/>
    <x v="1"/>
    <x v="2"/>
    <x v="3"/>
    <n v="2"/>
    <n v="55.69"/>
    <n v="29.2"/>
    <n v="111.38"/>
    <n v="82.179999999999993"/>
    <n v="58.4"/>
  </r>
  <r>
    <s v="ORD1494"/>
    <x v="105"/>
    <x v="1"/>
    <x v="2"/>
    <x v="1"/>
    <x v="10"/>
    <n v="2"/>
    <n v="27.62"/>
    <n v="15.71"/>
    <n v="55.24"/>
    <n v="39.53"/>
    <n v="31.42"/>
  </r>
  <r>
    <s v="ORD1495"/>
    <x v="46"/>
    <x v="1"/>
    <x v="3"/>
    <x v="0"/>
    <x v="11"/>
    <n v="7"/>
    <n v="27.69"/>
    <n v="13.27"/>
    <n v="193.83"/>
    <n v="180.56"/>
    <n v="92.89"/>
  </r>
  <r>
    <s v="ORD1496"/>
    <x v="79"/>
    <x v="3"/>
    <x v="3"/>
    <x v="2"/>
    <x v="9"/>
    <n v="7"/>
    <n v="54.81"/>
    <n v="24.29"/>
    <n v="383.67"/>
    <n v="359.38"/>
    <n v="170.03"/>
  </r>
  <r>
    <s v="ORD1497"/>
    <x v="104"/>
    <x v="0"/>
    <x v="0"/>
    <x v="2"/>
    <x v="3"/>
    <n v="1"/>
    <n v="59.05"/>
    <n v="36.83"/>
    <n v="59.05"/>
    <n v="22.22"/>
    <n v="36.83"/>
  </r>
  <r>
    <s v="ORD1498"/>
    <x v="119"/>
    <x v="0"/>
    <x v="3"/>
    <x v="3"/>
    <x v="6"/>
    <n v="5"/>
    <n v="13.62"/>
    <n v="6.59"/>
    <n v="68.099999999999994"/>
    <n v="61.509999999999991"/>
    <n v="32.950000000000003"/>
  </r>
  <r>
    <s v="ORD1499"/>
    <x v="46"/>
    <x v="3"/>
    <x v="0"/>
    <x v="2"/>
    <x v="3"/>
    <n v="5"/>
    <n v="53.09"/>
    <n v="36.75"/>
    <n v="265.45000000000005"/>
    <n v="228.70000000000005"/>
    <n v="183.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93D0E1-EF9C-F94E-AFD4-34C7BD4FE11B}" name="PivotTable3" cacheId="1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Date">
  <location ref="B4:C10" firstHeaderRow="1" firstDataRow="1" firstDataCol="1"/>
  <pivotFields count="13">
    <pivotField showAll="0"/>
    <pivotField showAll="0">
      <items count="122">
        <item x="110"/>
        <item x="96"/>
        <item x="119"/>
        <item x="68"/>
        <item x="79"/>
        <item x="51"/>
        <item x="73"/>
        <item x="33"/>
        <item x="22"/>
        <item x="58"/>
        <item x="107"/>
        <item x="1"/>
        <item x="94"/>
        <item x="49"/>
        <item x="42"/>
        <item x="78"/>
        <item x="43"/>
        <item x="92"/>
        <item x="100"/>
        <item x="59"/>
        <item x="101"/>
        <item x="83"/>
        <item x="103"/>
        <item x="117"/>
        <item x="24"/>
        <item x="85"/>
        <item x="44"/>
        <item x="23"/>
        <item x="65"/>
        <item x="72"/>
        <item x="69"/>
        <item x="26"/>
        <item x="40"/>
        <item x="20"/>
        <item x="11"/>
        <item x="48"/>
        <item x="39"/>
        <item x="17"/>
        <item x="120"/>
        <item x="47"/>
        <item x="82"/>
        <item x="64"/>
        <item x="41"/>
        <item x="4"/>
        <item x="99"/>
        <item x="84"/>
        <item x="67"/>
        <item x="8"/>
        <item x="30"/>
        <item x="109"/>
        <item x="104"/>
        <item x="21"/>
        <item x="29"/>
        <item x="116"/>
        <item x="31"/>
        <item x="102"/>
        <item x="75"/>
        <item x="3"/>
        <item x="36"/>
        <item x="27"/>
        <item x="81"/>
        <item x="113"/>
        <item x="61"/>
        <item x="14"/>
        <item x="2"/>
        <item x="54"/>
        <item x="76"/>
        <item x="80"/>
        <item x="90"/>
        <item x="95"/>
        <item x="16"/>
        <item x="56"/>
        <item x="114"/>
        <item x="6"/>
        <item x="32"/>
        <item x="105"/>
        <item x="15"/>
        <item x="50"/>
        <item x="53"/>
        <item x="52"/>
        <item x="77"/>
        <item x="9"/>
        <item x="63"/>
        <item x="28"/>
        <item x="70"/>
        <item x="35"/>
        <item x="106"/>
        <item x="10"/>
        <item x="93"/>
        <item x="86"/>
        <item x="115"/>
        <item x="111"/>
        <item x="97"/>
        <item x="5"/>
        <item x="0"/>
        <item x="71"/>
        <item x="57"/>
        <item x="98"/>
        <item x="108"/>
        <item x="18"/>
        <item x="87"/>
        <item x="66"/>
        <item x="88"/>
        <item x="112"/>
        <item x="55"/>
        <item x="91"/>
        <item x="37"/>
        <item x="62"/>
        <item x="89"/>
        <item x="7"/>
        <item x="25"/>
        <item x="46"/>
        <item x="19"/>
        <item x="12"/>
        <item x="13"/>
        <item x="60"/>
        <item x="74"/>
        <item x="118"/>
        <item x="45"/>
        <item x="34"/>
        <item x="38"/>
        <item t="default"/>
      </items>
    </pivotField>
    <pivotField showAll="0">
      <items count="6">
        <item x="1"/>
        <item x="3"/>
        <item x="2"/>
        <item x="4"/>
        <item x="0"/>
        <item t="default"/>
      </items>
    </pivotField>
    <pivotField showAll="0">
      <items count="5">
        <item x="0"/>
        <item x="2"/>
        <item x="3"/>
        <item x="1"/>
        <item t="default"/>
      </items>
    </pivotField>
    <pivotField showAll="0">
      <items count="5">
        <item x="2"/>
        <item x="3"/>
        <item x="1"/>
        <item x="0"/>
        <item t="default"/>
      </items>
    </pivotField>
    <pivotField showAll="0"/>
    <pivotField showAll="0"/>
    <pivotField showAll="0"/>
    <pivotField showAll="0"/>
    <pivotField dataField="1" showAll="0"/>
    <pivotField showAll="0"/>
    <pivotField showAll="0"/>
    <pivotField axis="axisRow" showAll="0">
      <items count="15">
        <item x="0"/>
        <item x="1"/>
        <item x="2"/>
        <item x="3"/>
        <item x="4"/>
        <item x="5"/>
        <item x="6"/>
        <item x="7"/>
        <item x="8"/>
        <item x="9"/>
        <item x="10"/>
        <item x="11"/>
        <item x="12"/>
        <item x="13"/>
        <item t="default"/>
      </items>
    </pivotField>
  </pivotFields>
  <rowFields count="1">
    <field x="12"/>
  </rowFields>
  <rowItems count="6">
    <i>
      <x v="1"/>
    </i>
    <i>
      <x v="2"/>
    </i>
    <i>
      <x v="3"/>
    </i>
    <i>
      <x v="4"/>
    </i>
    <i>
      <x v="5"/>
    </i>
    <i t="grand">
      <x/>
    </i>
  </rowItems>
  <colItems count="1">
    <i/>
  </colItems>
  <dataFields count="1">
    <dataField name="Revenue " fld="9" baseField="0" baseItem="0" numFmtId="1"/>
  </dataFields>
  <formats count="1">
    <format dxfId="39">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C28E3B-5EB8-2A45-9189-5471B58E452B}" name="PivotTable4" cacheId="1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4:D10" firstHeaderRow="0" firstDataRow="1" firstDataCol="1"/>
  <pivotFields count="13">
    <pivotField showAll="0"/>
    <pivotField numFmtId="14" showAll="0">
      <items count="122">
        <item x="110"/>
        <item x="96"/>
        <item x="119"/>
        <item x="68"/>
        <item x="79"/>
        <item x="51"/>
        <item x="73"/>
        <item x="33"/>
        <item x="22"/>
        <item x="58"/>
        <item x="107"/>
        <item x="1"/>
        <item x="94"/>
        <item x="49"/>
        <item x="42"/>
        <item x="78"/>
        <item x="43"/>
        <item x="92"/>
        <item x="100"/>
        <item x="59"/>
        <item x="101"/>
        <item x="83"/>
        <item x="103"/>
        <item x="117"/>
        <item x="24"/>
        <item x="85"/>
        <item x="44"/>
        <item x="23"/>
        <item x="65"/>
        <item x="72"/>
        <item x="69"/>
        <item x="26"/>
        <item x="40"/>
        <item x="20"/>
        <item x="11"/>
        <item x="48"/>
        <item x="39"/>
        <item x="17"/>
        <item x="120"/>
        <item x="47"/>
        <item x="82"/>
        <item x="64"/>
        <item x="41"/>
        <item x="4"/>
        <item x="99"/>
        <item x="84"/>
        <item x="67"/>
        <item x="8"/>
        <item x="30"/>
        <item x="109"/>
        <item x="104"/>
        <item x="21"/>
        <item x="29"/>
        <item x="116"/>
        <item x="31"/>
        <item x="102"/>
        <item x="75"/>
        <item x="3"/>
        <item x="36"/>
        <item x="27"/>
        <item x="81"/>
        <item x="113"/>
        <item x="61"/>
        <item x="14"/>
        <item x="2"/>
        <item x="54"/>
        <item x="76"/>
        <item x="80"/>
        <item x="90"/>
        <item x="95"/>
        <item x="16"/>
        <item x="56"/>
        <item x="114"/>
        <item x="6"/>
        <item x="32"/>
        <item x="105"/>
        <item x="15"/>
        <item x="50"/>
        <item x="53"/>
        <item x="52"/>
        <item x="77"/>
        <item x="9"/>
        <item x="63"/>
        <item x="28"/>
        <item x="70"/>
        <item x="35"/>
        <item x="106"/>
        <item x="10"/>
        <item x="93"/>
        <item x="86"/>
        <item x="115"/>
        <item x="111"/>
        <item x="97"/>
        <item x="5"/>
        <item x="0"/>
        <item x="71"/>
        <item x="57"/>
        <item x="98"/>
        <item x="108"/>
        <item x="18"/>
        <item x="87"/>
        <item x="66"/>
        <item x="88"/>
        <item x="112"/>
        <item x="55"/>
        <item x="91"/>
        <item x="37"/>
        <item x="62"/>
        <item x="89"/>
        <item x="7"/>
        <item x="25"/>
        <item x="46"/>
        <item x="19"/>
        <item x="12"/>
        <item x="13"/>
        <item x="60"/>
        <item x="74"/>
        <item x="118"/>
        <item x="45"/>
        <item x="34"/>
        <item x="38"/>
        <item t="default"/>
      </items>
    </pivotField>
    <pivotField axis="axisRow" showAll="0" sortType="descending">
      <items count="6">
        <item x="1"/>
        <item x="3"/>
        <item x="2"/>
        <item x="4"/>
        <item x="0"/>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5">
        <item x="2"/>
        <item x="3"/>
        <item x="1"/>
        <item x="0"/>
        <item t="default"/>
      </items>
    </pivotField>
    <pivotField showAll="0"/>
    <pivotField showAll="0"/>
    <pivotField showAll="0"/>
    <pivotField showAll="0"/>
    <pivotField dataField="1" showAll="0"/>
    <pivotField showAll="0"/>
    <pivotField showAll="0"/>
    <pivotField showAll="0" defaultSubtotal="0">
      <items count="14">
        <item x="0"/>
        <item x="1"/>
        <item x="2"/>
        <item x="3"/>
        <item x="4"/>
        <item x="5"/>
        <item x="6"/>
        <item x="7"/>
        <item x="8"/>
        <item x="9"/>
        <item x="10"/>
        <item x="11"/>
        <item x="12"/>
        <item x="13"/>
      </items>
    </pivotField>
  </pivotFields>
  <rowFields count="1">
    <field x="2"/>
  </rowFields>
  <rowItems count="6">
    <i>
      <x v="2"/>
    </i>
    <i>
      <x v="1"/>
    </i>
    <i>
      <x/>
    </i>
    <i>
      <x v="3"/>
    </i>
    <i>
      <x v="4"/>
    </i>
    <i t="grand">
      <x/>
    </i>
  </rowItems>
  <colFields count="1">
    <field x="-2"/>
  </colFields>
  <colItems count="2">
    <i>
      <x/>
    </i>
    <i i="1">
      <x v="1"/>
    </i>
  </colItems>
  <dataFields count="2">
    <dataField name="Sum of Revenue" fld="9" baseField="0" baseItem="0" numFmtId="1"/>
    <dataField name="Sum of Revenue2" fld="9" showDataAs="percentOfTotal" baseField="0" baseItem="0" numFmtId="164"/>
  </dataFields>
  <formats count="2">
    <format dxfId="37">
      <pivotArea outline="0" collapsedLevelsAreSubtotals="1" fieldPosition="0">
        <references count="1">
          <reference field="4294967294" count="1" selected="0">
            <x v="0"/>
          </reference>
        </references>
      </pivotArea>
    </format>
    <format dxfId="38">
      <pivotArea outline="0" collapsedLevelsAreSubtotals="1" fieldPosition="0">
        <references count="1">
          <reference field="4294967294" count="1" selected="0">
            <x v="1"/>
          </reference>
        </references>
      </pivotArea>
    </format>
  </formats>
  <chartFormats count="12">
    <chartFormat chart="3" format="14"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2" count="1" selected="0">
            <x v="2"/>
          </reference>
        </references>
      </pivotArea>
    </chartFormat>
    <chartFormat chart="3" format="16">
      <pivotArea type="data" outline="0" fieldPosition="0">
        <references count="2">
          <reference field="4294967294" count="1" selected="0">
            <x v="0"/>
          </reference>
          <reference field="2" count="1" selected="0">
            <x v="1"/>
          </reference>
        </references>
      </pivotArea>
    </chartFormat>
    <chartFormat chart="3" format="17">
      <pivotArea type="data" outline="0" fieldPosition="0">
        <references count="2">
          <reference field="4294967294" count="1" selected="0">
            <x v="0"/>
          </reference>
          <reference field="2" count="1" selected="0">
            <x v="0"/>
          </reference>
        </references>
      </pivotArea>
    </chartFormat>
    <chartFormat chart="3" format="18">
      <pivotArea type="data" outline="0" fieldPosition="0">
        <references count="2">
          <reference field="4294967294" count="1" selected="0">
            <x v="0"/>
          </reference>
          <reference field="2" count="1" selected="0">
            <x v="3"/>
          </reference>
        </references>
      </pivotArea>
    </chartFormat>
    <chartFormat chart="3" format="19">
      <pivotArea type="data" outline="0" fieldPosition="0">
        <references count="2">
          <reference field="4294967294" count="1" selected="0">
            <x v="0"/>
          </reference>
          <reference field="2" count="1" selected="0">
            <x v="4"/>
          </reference>
        </references>
      </pivotArea>
    </chartFormat>
    <chartFormat chart="3" format="20" series="1">
      <pivotArea type="data" outline="0" fieldPosition="0">
        <references count="1">
          <reference field="4294967294" count="1" selected="0">
            <x v="1"/>
          </reference>
        </references>
      </pivotArea>
    </chartFormat>
    <chartFormat chart="3" format="21">
      <pivotArea type="data" outline="0" fieldPosition="0">
        <references count="2">
          <reference field="4294967294" count="1" selected="0">
            <x v="1"/>
          </reference>
          <reference field="2" count="1" selected="0">
            <x v="2"/>
          </reference>
        </references>
      </pivotArea>
    </chartFormat>
    <chartFormat chart="3" format="22">
      <pivotArea type="data" outline="0" fieldPosition="0">
        <references count="2">
          <reference field="4294967294" count="1" selected="0">
            <x v="1"/>
          </reference>
          <reference field="2" count="1" selected="0">
            <x v="1"/>
          </reference>
        </references>
      </pivotArea>
    </chartFormat>
    <chartFormat chart="3" format="23">
      <pivotArea type="data" outline="0" fieldPosition="0">
        <references count="2">
          <reference field="4294967294" count="1" selected="0">
            <x v="1"/>
          </reference>
          <reference field="2" count="1" selected="0">
            <x v="0"/>
          </reference>
        </references>
      </pivotArea>
    </chartFormat>
    <chartFormat chart="3" format="24">
      <pivotArea type="data" outline="0" fieldPosition="0">
        <references count="2">
          <reference field="4294967294" count="1" selected="0">
            <x v="1"/>
          </reference>
          <reference field="2" count="1" selected="0">
            <x v="3"/>
          </reference>
        </references>
      </pivotArea>
    </chartFormat>
    <chartFormat chart="3" format="25">
      <pivotArea type="data" outline="0" fieldPosition="0">
        <references count="2">
          <reference field="4294967294" count="1" selected="0">
            <x v="1"/>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F64DD00-D159-D441-8C6B-10F6DF499038}" name="PivotTable1" cacheId="1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ategory">
  <location ref="B4:C9" firstHeaderRow="1" firstDataRow="1" firstDataCol="1"/>
  <pivotFields count="13">
    <pivotField showAll="0"/>
    <pivotField numFmtId="14" showAll="0">
      <items count="122">
        <item x="110"/>
        <item x="96"/>
        <item x="119"/>
        <item x="68"/>
        <item x="79"/>
        <item x="51"/>
        <item x="73"/>
        <item x="33"/>
        <item x="22"/>
        <item x="58"/>
        <item x="107"/>
        <item x="1"/>
        <item x="94"/>
        <item x="49"/>
        <item x="42"/>
        <item x="78"/>
        <item x="43"/>
        <item x="92"/>
        <item x="100"/>
        <item x="59"/>
        <item x="101"/>
        <item x="83"/>
        <item x="103"/>
        <item x="117"/>
        <item x="24"/>
        <item x="85"/>
        <item x="44"/>
        <item x="23"/>
        <item x="65"/>
        <item x="72"/>
        <item x="69"/>
        <item x="26"/>
        <item x="40"/>
        <item x="20"/>
        <item x="11"/>
        <item x="48"/>
        <item x="39"/>
        <item x="17"/>
        <item x="120"/>
        <item x="47"/>
        <item x="82"/>
        <item x="64"/>
        <item x="41"/>
        <item x="4"/>
        <item x="99"/>
        <item x="84"/>
        <item x="67"/>
        <item x="8"/>
        <item x="30"/>
        <item x="109"/>
        <item x="104"/>
        <item x="21"/>
        <item x="29"/>
        <item x="116"/>
        <item x="31"/>
        <item x="102"/>
        <item x="75"/>
        <item x="3"/>
        <item x="36"/>
        <item x="27"/>
        <item x="81"/>
        <item x="113"/>
        <item x="61"/>
        <item x="14"/>
        <item x="2"/>
        <item x="54"/>
        <item x="76"/>
        <item x="80"/>
        <item x="90"/>
        <item x="95"/>
        <item x="16"/>
        <item x="56"/>
        <item x="114"/>
        <item x="6"/>
        <item x="32"/>
        <item x="105"/>
        <item x="15"/>
        <item x="50"/>
        <item x="53"/>
        <item x="52"/>
        <item x="77"/>
        <item x="9"/>
        <item x="63"/>
        <item x="28"/>
        <item x="70"/>
        <item x="35"/>
        <item x="106"/>
        <item x="10"/>
        <item x="93"/>
        <item x="86"/>
        <item x="115"/>
        <item x="111"/>
        <item x="97"/>
        <item x="5"/>
        <item x="0"/>
        <item x="71"/>
        <item x="57"/>
        <item x="98"/>
        <item x="108"/>
        <item x="18"/>
        <item x="87"/>
        <item x="66"/>
        <item x="88"/>
        <item x="112"/>
        <item x="55"/>
        <item x="91"/>
        <item x="37"/>
        <item x="62"/>
        <item x="89"/>
        <item x="7"/>
        <item x="25"/>
        <item x="46"/>
        <item x="19"/>
        <item x="12"/>
        <item x="13"/>
        <item x="60"/>
        <item x="74"/>
        <item x="118"/>
        <item x="45"/>
        <item x="34"/>
        <item x="38"/>
        <item t="default"/>
      </items>
    </pivotField>
    <pivotField showAll="0">
      <items count="6">
        <item x="1"/>
        <item x="3"/>
        <item x="2"/>
        <item x="4"/>
        <item x="0"/>
        <item t="default"/>
      </items>
    </pivotField>
    <pivotField showAll="0">
      <items count="5">
        <item x="0"/>
        <item x="2"/>
        <item x="3"/>
        <item x="1"/>
        <item t="default"/>
      </items>
    </pivotField>
    <pivotField axis="axisRow" showAll="0" sortType="descending">
      <items count="5">
        <item x="2"/>
        <item x="3"/>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defaultSubtotal="0">
      <items count="14">
        <item x="0"/>
        <item x="1"/>
        <item x="2"/>
        <item x="3"/>
        <item x="4"/>
        <item x="5"/>
        <item x="6"/>
        <item x="7"/>
        <item x="8"/>
        <item x="9"/>
        <item x="10"/>
        <item x="11"/>
        <item x="12"/>
        <item x="13"/>
      </items>
    </pivotField>
  </pivotFields>
  <rowFields count="1">
    <field x="4"/>
  </rowFields>
  <rowItems count="5">
    <i>
      <x/>
    </i>
    <i>
      <x v="3"/>
    </i>
    <i>
      <x v="1"/>
    </i>
    <i>
      <x v="2"/>
    </i>
    <i t="grand">
      <x/>
    </i>
  </rowItems>
  <colItems count="1">
    <i/>
  </colItems>
  <dataFields count="1">
    <dataField name="Total Profit" fld="10" baseField="0" baseItem="0"/>
  </dataFields>
  <formats count="1">
    <format dxfId="36">
      <pivotArea outline="0" collapsedLevelsAreSubtotals="1" fieldPosition="0"/>
    </format>
  </formats>
  <chartFormats count="3">
    <chartFormat chart="0" format="1"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2263928-49EF-1A46-ACEE-F7FDF1A50003}" name="PivotTable6" cacheId="1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roducts">
  <location ref="B4:C15" firstHeaderRow="1" firstDataRow="1" firstDataCol="1"/>
  <pivotFields count="13">
    <pivotField showAll="0"/>
    <pivotField numFmtId="14" showAll="0">
      <items count="122">
        <item x="110"/>
        <item x="96"/>
        <item x="119"/>
        <item x="68"/>
        <item x="79"/>
        <item x="51"/>
        <item x="73"/>
        <item x="33"/>
        <item x="22"/>
        <item x="58"/>
        <item x="107"/>
        <item x="1"/>
        <item x="94"/>
        <item x="49"/>
        <item x="42"/>
        <item x="78"/>
        <item x="43"/>
        <item x="92"/>
        <item x="100"/>
        <item x="59"/>
        <item x="101"/>
        <item x="83"/>
        <item x="103"/>
        <item x="117"/>
        <item x="24"/>
        <item x="85"/>
        <item x="44"/>
        <item x="23"/>
        <item x="65"/>
        <item x="72"/>
        <item x="69"/>
        <item x="26"/>
        <item x="40"/>
        <item x="20"/>
        <item x="11"/>
        <item x="48"/>
        <item x="39"/>
        <item x="17"/>
        <item x="120"/>
        <item x="47"/>
        <item x="82"/>
        <item x="64"/>
        <item x="41"/>
        <item x="4"/>
        <item x="99"/>
        <item x="84"/>
        <item x="67"/>
        <item x="8"/>
        <item x="30"/>
        <item x="109"/>
        <item x="104"/>
        <item x="21"/>
        <item x="29"/>
        <item x="116"/>
        <item x="31"/>
        <item x="102"/>
        <item x="75"/>
        <item x="3"/>
        <item x="36"/>
        <item x="27"/>
        <item x="81"/>
        <item x="113"/>
        <item x="61"/>
        <item x="14"/>
        <item x="2"/>
        <item x="54"/>
        <item x="76"/>
        <item x="80"/>
        <item x="90"/>
        <item x="95"/>
        <item x="16"/>
        <item x="56"/>
        <item x="114"/>
        <item x="6"/>
        <item x="32"/>
        <item x="105"/>
        <item x="15"/>
        <item x="50"/>
        <item x="53"/>
        <item x="52"/>
        <item x="77"/>
        <item x="9"/>
        <item x="63"/>
        <item x="28"/>
        <item x="70"/>
        <item x="35"/>
        <item x="106"/>
        <item x="10"/>
        <item x="93"/>
        <item x="86"/>
        <item x="115"/>
        <item x="111"/>
        <item x="97"/>
        <item x="5"/>
        <item x="0"/>
        <item x="71"/>
        <item x="57"/>
        <item x="98"/>
        <item x="108"/>
        <item x="18"/>
        <item x="87"/>
        <item x="66"/>
        <item x="88"/>
        <item x="112"/>
        <item x="55"/>
        <item x="91"/>
        <item x="37"/>
        <item x="62"/>
        <item x="89"/>
        <item x="7"/>
        <item x="25"/>
        <item x="46"/>
        <item x="19"/>
        <item x="12"/>
        <item x="13"/>
        <item x="60"/>
        <item x="74"/>
        <item x="118"/>
        <item x="45"/>
        <item x="34"/>
        <item x="38"/>
        <item t="default"/>
      </items>
    </pivotField>
    <pivotField showAll="0">
      <items count="6">
        <item x="1"/>
        <item x="3"/>
        <item x="2"/>
        <item x="4"/>
        <item x="0"/>
        <item t="default"/>
      </items>
    </pivotField>
    <pivotField showAll="0">
      <items count="5">
        <item x="0"/>
        <item x="2"/>
        <item x="3"/>
        <item x="1"/>
        <item t="default"/>
      </items>
    </pivotField>
    <pivotField showAll="0">
      <items count="5">
        <item x="2"/>
        <item x="3"/>
        <item x="1"/>
        <item x="0"/>
        <item t="default"/>
      </items>
    </pivotField>
    <pivotField axis="axisRow" showAll="0" measureFilter="1" sortType="descending">
      <items count="17">
        <item x="10"/>
        <item x="9"/>
        <item x="0"/>
        <item x="4"/>
        <item x="7"/>
        <item x="13"/>
        <item x="8"/>
        <item x="6"/>
        <item x="2"/>
        <item x="12"/>
        <item x="14"/>
        <item x="3"/>
        <item x="15"/>
        <item x="5"/>
        <item x="11"/>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defaultSubtotal="0">
      <items count="14">
        <item x="0"/>
        <item x="1"/>
        <item x="2"/>
        <item x="3"/>
        <item x="4"/>
        <item x="5"/>
        <item x="6"/>
        <item x="7"/>
        <item x="8"/>
        <item x="9"/>
        <item x="10"/>
        <item x="11"/>
        <item x="12"/>
        <item x="13"/>
      </items>
    </pivotField>
  </pivotFields>
  <rowFields count="1">
    <field x="5"/>
  </rowFields>
  <rowItems count="11">
    <i>
      <x v="11"/>
    </i>
    <i>
      <x v="1"/>
    </i>
    <i>
      <x v="6"/>
    </i>
    <i>
      <x v="14"/>
    </i>
    <i>
      <x v="10"/>
    </i>
    <i>
      <x v="13"/>
    </i>
    <i>
      <x v="15"/>
    </i>
    <i>
      <x v="7"/>
    </i>
    <i>
      <x v="3"/>
    </i>
    <i>
      <x v="5"/>
    </i>
    <i t="grand">
      <x/>
    </i>
  </rowItems>
  <colItems count="1">
    <i/>
  </colItems>
  <dataFields count="1">
    <dataField name="Sum of Revenue" fld="9" baseField="0" baseItem="0" numFmtId="1"/>
  </dataFields>
  <formats count="1">
    <format dxfId="3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1" xr10:uid="{A9BF492A-C173-F14F-AD11-86F627C760D9}" sourceName="Store">
  <pivotTables>
    <pivotTable tabId="10" name="PivotTable1"/>
    <pivotTable tabId="2" name="PivotTable3"/>
    <pivotTable tabId="3" name="PivotTable4"/>
    <pivotTable tabId="6" name="PivotTable6"/>
  </pivotTables>
  <data>
    <tabular pivotCacheId="734600028">
      <items count="5">
        <i x="1" s="1"/>
        <i x="3" s="1"/>
        <i x="2"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922F622-2608-C048-8999-EB7E7D266EAE}" sourceName="Region">
  <pivotTables>
    <pivotTable tabId="10" name="PivotTable1"/>
    <pivotTable tabId="2" name="PivotTable3"/>
    <pivotTable tabId="3" name="PivotTable4"/>
    <pivotTable tabId="6" name="PivotTable6"/>
  </pivotTables>
  <data>
    <tabular pivotCacheId="734600028">
      <items count="4">
        <i x="0" s="1"/>
        <i x="2"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C98676F-6275-5648-BE5C-EF2920C0AAD3}" sourceName="Category">
  <pivotTables>
    <pivotTable tabId="10" name="PivotTable1"/>
    <pivotTable tabId="2" name="PivotTable3"/>
    <pivotTable tabId="3" name="PivotTable4"/>
    <pivotTable tabId="6" name="PivotTable6"/>
  </pivotTables>
  <data>
    <tabular pivotCacheId="734600028">
      <items count="4">
        <i x="2" s="1"/>
        <i x="3"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 1" xr10:uid="{F6336347-1FB5-7C4E-A005-F42FC78B999F}" cache="Slicer_Store1" caption="Store" rowHeight="230716"/>
  <slicer name="Region 1" xr10:uid="{E8BD68A5-842E-2E41-A1B6-9E2E1D0EECDF}" cache="Slicer_Region" caption="Region" rowHeight="230716"/>
  <slicer name="Category 1" xr10:uid="{C9A369C6-F5EE-6E4B-9194-7C93F5B073FB}" cache="Slicer_Category" caption="Category"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 4" xr10:uid="{1EFBB750-F7E3-3C40-804B-0B6E02087BBF}" cache="Slicer_Store1" caption="Store"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CF51FB-8F94-774E-BF6C-0972FFA3A706}" name="SalesDataTable" displayName="SalesDataTable" ref="A1:L501" totalsRowShown="0" headerRowDxfId="106" headerRowBorderDxfId="105" tableBorderDxfId="104">
  <autoFilter ref="A1:L501" xr:uid="{CDCF51FB-8F94-774E-BF6C-0972FFA3A706}"/>
  <tableColumns count="12">
    <tableColumn id="1" xr3:uid="{F41D909C-65A1-A448-AFD5-EB61D07F2C2F}" name="Order ID"/>
    <tableColumn id="2" xr3:uid="{B1E990AB-C050-E645-B87E-A8B7CCBA15CF}" name="Date"/>
    <tableColumn id="3" xr3:uid="{B0F57C76-148C-E44B-A0BE-707FE10D5C0F}" name="Store"/>
    <tableColumn id="4" xr3:uid="{2FA4149E-A60B-7645-9744-9F8D584409EF}" name="Region"/>
    <tableColumn id="5" xr3:uid="{975FDAE4-3C33-BD40-9CC7-74586EC4EA43}" name="Category"/>
    <tableColumn id="6" xr3:uid="{BCE38015-2AA9-544B-A46D-D9ED2BF438E5}" name="Product"/>
    <tableColumn id="7" xr3:uid="{8D7FECB6-F199-0E49-A30C-A78C95C214CB}" name="Units Sold"/>
    <tableColumn id="8" xr3:uid="{4433B613-5CE4-DF4F-A9E3-E249DADF213C}" name="Unit Price"/>
    <tableColumn id="9" xr3:uid="{05CAFD98-4BF4-514A-B790-A3BBB4711DCB}" name="Cost Price"/>
    <tableColumn id="10" xr3:uid="{1A1B52B7-9BA6-B24A-AB1F-751B3B04A93F}" name="Revenue" dataDxfId="103">
      <calculatedColumnFormula>(G2*H2)</calculatedColumnFormula>
    </tableColumn>
    <tableColumn id="11" xr3:uid="{A8CF274D-3B12-0144-9C9A-785E97C69AC1}" name="Profit" dataDxfId="102">
      <calculatedColumnFormula>(J2-I2)</calculatedColumnFormula>
    </tableColumn>
    <tableColumn id="12" xr3:uid="{47CB148D-36DB-9644-B29A-26A441192C8E}" name="Total Cost"/>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68C17-6134-FC40-989D-5E8541E404AA}">
  <dimension ref="B3:C10"/>
  <sheetViews>
    <sheetView zoomScale="182" workbookViewId="0">
      <selection activeCell="R45" sqref="R45"/>
    </sheetView>
  </sheetViews>
  <sheetFormatPr baseColWidth="10" defaultRowHeight="15" x14ac:dyDescent="0.2"/>
  <cols>
    <col min="2" max="2" width="10" bestFit="1" customWidth="1"/>
    <col min="3" max="3" width="8.33203125" bestFit="1" customWidth="1"/>
  </cols>
  <sheetData>
    <row r="3" spans="2:3" ht="19" x14ac:dyDescent="0.25">
      <c r="B3" s="4" t="s">
        <v>543</v>
      </c>
      <c r="C3" s="5"/>
    </row>
    <row r="4" spans="2:3" x14ac:dyDescent="0.2">
      <c r="B4" s="2" t="s">
        <v>1</v>
      </c>
      <c r="C4" t="s">
        <v>544</v>
      </c>
    </row>
    <row r="5" spans="2:3" x14ac:dyDescent="0.2">
      <c r="B5" s="3" t="s">
        <v>545</v>
      </c>
      <c r="C5" s="7">
        <v>18869.799999999992</v>
      </c>
    </row>
    <row r="6" spans="2:3" x14ac:dyDescent="0.2">
      <c r="B6" s="3" t="s">
        <v>546</v>
      </c>
      <c r="C6" s="7">
        <v>16063.550000000001</v>
      </c>
    </row>
    <row r="7" spans="2:3" x14ac:dyDescent="0.2">
      <c r="B7" s="3" t="s">
        <v>547</v>
      </c>
      <c r="C7" s="7">
        <v>17082.780000000006</v>
      </c>
    </row>
    <row r="8" spans="2:3" x14ac:dyDescent="0.2">
      <c r="B8" s="3" t="s">
        <v>548</v>
      </c>
      <c r="C8" s="7">
        <v>16989.730000000003</v>
      </c>
    </row>
    <row r="9" spans="2:3" x14ac:dyDescent="0.2">
      <c r="B9" s="3" t="s">
        <v>549</v>
      </c>
      <c r="C9" s="7">
        <v>879.93000000000006</v>
      </c>
    </row>
    <row r="10" spans="2:3" x14ac:dyDescent="0.2">
      <c r="B10" s="3" t="s">
        <v>542</v>
      </c>
      <c r="C10" s="7">
        <v>69885.789999999994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9243F-54B5-464E-BC09-E899AABBF0DC}">
  <dimension ref="B3:D10"/>
  <sheetViews>
    <sheetView zoomScale="128" workbookViewId="0">
      <selection activeCell="B10" sqref="B10"/>
    </sheetView>
  </sheetViews>
  <sheetFormatPr baseColWidth="10" defaultRowHeight="15" x14ac:dyDescent="0.2"/>
  <cols>
    <col min="2" max="2" width="15.33203125" bestFit="1" customWidth="1"/>
    <col min="3" max="3" width="13.5" bestFit="1" customWidth="1"/>
    <col min="4" max="4" width="14.5" bestFit="1" customWidth="1"/>
  </cols>
  <sheetData>
    <row r="3" spans="2:4" x14ac:dyDescent="0.2">
      <c r="B3" s="19" t="s">
        <v>551</v>
      </c>
      <c r="C3" s="19"/>
      <c r="D3" s="19"/>
    </row>
    <row r="4" spans="2:4" x14ac:dyDescent="0.2">
      <c r="B4" s="2" t="s">
        <v>541</v>
      </c>
      <c r="C4" t="s">
        <v>540</v>
      </c>
      <c r="D4" t="s">
        <v>550</v>
      </c>
    </row>
    <row r="5" spans="2:4" x14ac:dyDescent="0.2">
      <c r="B5" s="3" t="s">
        <v>511</v>
      </c>
      <c r="C5" s="7">
        <v>16270.20000000001</v>
      </c>
      <c r="D5" s="8">
        <v>0.23281127679890301</v>
      </c>
    </row>
    <row r="6" spans="2:4" x14ac:dyDescent="0.2">
      <c r="B6" s="3" t="s">
        <v>512</v>
      </c>
      <c r="C6" s="7">
        <v>14300.459999999997</v>
      </c>
      <c r="D6" s="8">
        <v>0.20462614789072278</v>
      </c>
    </row>
    <row r="7" spans="2:4" x14ac:dyDescent="0.2">
      <c r="B7" s="3" t="s">
        <v>510</v>
      </c>
      <c r="C7" s="7">
        <v>14232.68</v>
      </c>
      <c r="D7" s="8">
        <v>0.20365627976731748</v>
      </c>
    </row>
    <row r="8" spans="2:4" x14ac:dyDescent="0.2">
      <c r="B8" s="3" t="s">
        <v>513</v>
      </c>
      <c r="C8" s="7">
        <v>13885.199999999993</v>
      </c>
      <c r="D8" s="8">
        <v>0.19868416741085693</v>
      </c>
    </row>
    <row r="9" spans="2:4" x14ac:dyDescent="0.2">
      <c r="B9" s="3" t="s">
        <v>509</v>
      </c>
      <c r="C9" s="7">
        <v>11197.25</v>
      </c>
      <c r="D9" s="8">
        <v>0.16022212813219969</v>
      </c>
    </row>
    <row r="10" spans="2:4" x14ac:dyDescent="0.2">
      <c r="B10" s="3" t="s">
        <v>542</v>
      </c>
      <c r="C10" s="7">
        <v>69885.790000000008</v>
      </c>
      <c r="D10" s="8">
        <v>1</v>
      </c>
    </row>
  </sheetData>
  <mergeCells count="1">
    <mergeCell ref="B3:D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D1C3E-163C-A547-AE60-33AE4929FB9F}">
  <dimension ref="A1:O10"/>
  <sheetViews>
    <sheetView showGridLines="0" tabSelected="1" zoomScale="53" zoomScaleNormal="53" workbookViewId="0">
      <selection activeCell="Y10" sqref="Y10"/>
    </sheetView>
  </sheetViews>
  <sheetFormatPr baseColWidth="10" defaultRowHeight="15" x14ac:dyDescent="0.2"/>
  <cols>
    <col min="2" max="2" width="16.6640625" bestFit="1" customWidth="1"/>
  </cols>
  <sheetData>
    <row r="1" spans="1:15" x14ac:dyDescent="0.2">
      <c r="A1" s="16" t="s">
        <v>552</v>
      </c>
      <c r="B1" s="16"/>
      <c r="C1" s="16"/>
      <c r="D1" s="16"/>
      <c r="E1" s="16"/>
      <c r="F1" s="16"/>
      <c r="G1" s="16"/>
      <c r="H1" s="16"/>
      <c r="I1" s="16"/>
      <c r="J1" s="16"/>
      <c r="K1" s="16"/>
      <c r="L1" s="16"/>
      <c r="M1" s="16"/>
    </row>
    <row r="2" spans="1:15" x14ac:dyDescent="0.2">
      <c r="A2" s="16"/>
      <c r="B2" s="16"/>
      <c r="C2" s="16"/>
      <c r="D2" s="16"/>
      <c r="E2" s="16"/>
      <c r="F2" s="16"/>
      <c r="G2" s="16"/>
      <c r="H2" s="16"/>
      <c r="I2" s="16"/>
      <c r="J2" s="16"/>
      <c r="K2" s="16"/>
      <c r="L2" s="16"/>
      <c r="M2" s="16"/>
    </row>
    <row r="3" spans="1:15" ht="24" x14ac:dyDescent="0.3">
      <c r="A3" s="17" t="s">
        <v>554</v>
      </c>
      <c r="B3" s="17"/>
      <c r="C3" s="17"/>
      <c r="D3" s="17"/>
      <c r="E3" s="17"/>
      <c r="F3" s="17"/>
      <c r="G3" s="17"/>
      <c r="H3" s="17"/>
      <c r="I3" s="17"/>
      <c r="J3" s="17"/>
      <c r="K3" s="17"/>
      <c r="L3" s="17"/>
      <c r="M3" s="17"/>
    </row>
    <row r="5" spans="1:15" ht="15" customHeight="1" x14ac:dyDescent="0.2">
      <c r="A5" s="18" t="s">
        <v>555</v>
      </c>
      <c r="B5" s="12"/>
      <c r="C5" s="12"/>
      <c r="E5" s="11" t="s">
        <v>556</v>
      </c>
      <c r="F5" s="11"/>
      <c r="G5" s="11"/>
      <c r="I5" s="11" t="s">
        <v>6</v>
      </c>
      <c r="J5" s="12"/>
      <c r="K5" s="12"/>
      <c r="M5" s="13" t="s">
        <v>557</v>
      </c>
      <c r="N5" s="12"/>
      <c r="O5" s="12"/>
    </row>
    <row r="6" spans="1:15" x14ac:dyDescent="0.2">
      <c r="A6" s="12"/>
      <c r="B6" s="12"/>
      <c r="C6" s="12"/>
      <c r="E6" s="11"/>
      <c r="F6" s="11"/>
      <c r="G6" s="11"/>
      <c r="I6" s="12"/>
      <c r="J6" s="12"/>
      <c r="K6" s="12"/>
      <c r="M6" s="12"/>
      <c r="N6" s="12"/>
      <c r="O6" s="12"/>
    </row>
    <row r="7" spans="1:15" x14ac:dyDescent="0.2">
      <c r="A7" s="12"/>
      <c r="B7" s="12"/>
      <c r="C7" s="12"/>
      <c r="E7" s="11"/>
      <c r="F7" s="11"/>
      <c r="G7" s="11"/>
      <c r="I7" s="12"/>
      <c r="J7" s="12"/>
      <c r="K7" s="12"/>
      <c r="M7" s="12"/>
      <c r="N7" s="12"/>
      <c r="O7" s="12"/>
    </row>
    <row r="8" spans="1:15" x14ac:dyDescent="0.2">
      <c r="A8" s="12"/>
      <c r="B8" s="12"/>
      <c r="C8" s="12"/>
      <c r="E8" s="11"/>
      <c r="F8" s="11"/>
      <c r="G8" s="11"/>
      <c r="I8" s="12"/>
      <c r="J8" s="12"/>
      <c r="K8" s="12"/>
      <c r="M8" s="12"/>
      <c r="N8" s="12"/>
      <c r="O8" s="12"/>
    </row>
    <row r="9" spans="1:15" ht="26" x14ac:dyDescent="0.3">
      <c r="A9" s="10">
        <f>SUM(SalesDataTable[Revenue])</f>
        <v>69885.790000000066</v>
      </c>
      <c r="B9" s="10"/>
      <c r="C9" s="10"/>
      <c r="E9" s="10">
        <f>SUM(SalesDataTable[Profit])</f>
        <v>61257.490000000013</v>
      </c>
      <c r="F9" s="10"/>
      <c r="G9" s="10"/>
      <c r="I9" s="14">
        <f>SUM(SalesDataTable[Units Sold])</f>
        <v>2246</v>
      </c>
      <c r="J9" s="14"/>
      <c r="K9" s="14"/>
      <c r="M9" s="15">
        <f>SUM(SalesDataTable[Profit])/SUM(SalesDataTable[Revenue])</f>
        <v>0.87653713294218971</v>
      </c>
      <c r="N9" s="15"/>
      <c r="O9" s="15"/>
    </row>
    <row r="10" spans="1:15" ht="26" x14ac:dyDescent="0.3">
      <c r="B10" s="9"/>
    </row>
  </sheetData>
  <mergeCells count="10">
    <mergeCell ref="A1:M2"/>
    <mergeCell ref="A3:M3"/>
    <mergeCell ref="A5:C8"/>
    <mergeCell ref="A9:C9"/>
    <mergeCell ref="E5:G8"/>
    <mergeCell ref="E9:G9"/>
    <mergeCell ref="I5:K8"/>
    <mergeCell ref="M5:O8"/>
    <mergeCell ref="I9:K9"/>
    <mergeCell ref="M9:O9"/>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A4266-8BD7-4245-96D4-45CACBAD2749}">
  <dimension ref="B3:C9"/>
  <sheetViews>
    <sheetView topLeftCell="A2" zoomScale="187" workbookViewId="0">
      <selection activeCell="C6" sqref="C6"/>
    </sheetView>
  </sheetViews>
  <sheetFormatPr baseColWidth="10" defaultRowHeight="15" x14ac:dyDescent="0.2"/>
  <cols>
    <col min="2" max="2" width="10.5" bestFit="1" customWidth="1"/>
    <col min="3" max="3" width="9.6640625" bestFit="1" customWidth="1"/>
    <col min="4" max="4" width="11" bestFit="1" customWidth="1"/>
  </cols>
  <sheetData>
    <row r="3" spans="2:3" x14ac:dyDescent="0.2">
      <c r="B3" s="19" t="s">
        <v>558</v>
      </c>
      <c r="C3" s="19"/>
    </row>
    <row r="4" spans="2:3" x14ac:dyDescent="0.2">
      <c r="B4" s="2" t="s">
        <v>4</v>
      </c>
      <c r="C4" t="s">
        <v>556</v>
      </c>
    </row>
    <row r="5" spans="2:3" x14ac:dyDescent="0.2">
      <c r="B5" s="3" t="s">
        <v>520</v>
      </c>
      <c r="C5" s="7">
        <v>30846.04</v>
      </c>
    </row>
    <row r="6" spans="2:3" x14ac:dyDescent="0.2">
      <c r="B6" s="3" t="s">
        <v>518</v>
      </c>
      <c r="C6" s="7">
        <v>11900.480000000001</v>
      </c>
    </row>
    <row r="7" spans="2:3" x14ac:dyDescent="0.2">
      <c r="B7" s="3" t="s">
        <v>521</v>
      </c>
      <c r="C7" s="7">
        <v>9894.2499999999945</v>
      </c>
    </row>
    <row r="8" spans="2:3" x14ac:dyDescent="0.2">
      <c r="B8" s="3" t="s">
        <v>519</v>
      </c>
      <c r="C8" s="7">
        <v>8616.7200000000012</v>
      </c>
    </row>
    <row r="9" spans="2:3" x14ac:dyDescent="0.2">
      <c r="B9" s="3" t="s">
        <v>542</v>
      </c>
      <c r="C9" s="7">
        <v>61257.49</v>
      </c>
    </row>
  </sheetData>
  <mergeCells count="1">
    <mergeCell ref="B3:C3"/>
  </mergeCells>
  <pageMargins left="0.7" right="0.7" top="0.75" bottom="0.75" header="0.3" footer="0.3"/>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08FED-D685-8D4A-A8E9-ADBE89FA32FC}">
  <dimension ref="B3:C15"/>
  <sheetViews>
    <sheetView zoomScale="150" workbookViewId="0">
      <selection activeCell="B6" sqref="B6"/>
    </sheetView>
  </sheetViews>
  <sheetFormatPr baseColWidth="10" defaultRowHeight="15" x14ac:dyDescent="0.2"/>
  <cols>
    <col min="2" max="2" width="10.5" bestFit="1" customWidth="1"/>
    <col min="3" max="3" width="14" bestFit="1" customWidth="1"/>
  </cols>
  <sheetData>
    <row r="3" spans="2:3" ht="16" x14ac:dyDescent="0.25">
      <c r="B3" s="21" t="s">
        <v>559</v>
      </c>
      <c r="C3" s="20"/>
    </row>
    <row r="4" spans="2:3" x14ac:dyDescent="0.2">
      <c r="B4" s="2" t="s">
        <v>560</v>
      </c>
      <c r="C4" t="s">
        <v>540</v>
      </c>
    </row>
    <row r="5" spans="2:3" x14ac:dyDescent="0.2">
      <c r="B5" s="3" t="s">
        <v>525</v>
      </c>
      <c r="C5" s="7">
        <v>18695.670000000002</v>
      </c>
    </row>
    <row r="6" spans="2:3" x14ac:dyDescent="0.2">
      <c r="B6" s="3" t="s">
        <v>531</v>
      </c>
      <c r="C6" s="7">
        <v>16565.3</v>
      </c>
    </row>
    <row r="7" spans="2:3" x14ac:dyDescent="0.2">
      <c r="B7" s="3" t="s">
        <v>530</v>
      </c>
      <c r="C7" s="7">
        <v>3720.33</v>
      </c>
    </row>
    <row r="8" spans="2:3" x14ac:dyDescent="0.2">
      <c r="B8" s="3" t="s">
        <v>533</v>
      </c>
      <c r="C8" s="7">
        <v>3465.73</v>
      </c>
    </row>
    <row r="9" spans="2:3" x14ac:dyDescent="0.2">
      <c r="B9" s="3" t="s">
        <v>536</v>
      </c>
      <c r="C9" s="7">
        <v>2978.1000000000004</v>
      </c>
    </row>
    <row r="10" spans="2:3" x14ac:dyDescent="0.2">
      <c r="B10" s="3" t="s">
        <v>527</v>
      </c>
      <c r="C10" s="7">
        <v>2857.2199999999993</v>
      </c>
    </row>
    <row r="11" spans="2:3" x14ac:dyDescent="0.2">
      <c r="B11" s="3" t="s">
        <v>523</v>
      </c>
      <c r="C11" s="7">
        <v>2630.4900000000002</v>
      </c>
    </row>
    <row r="12" spans="2:3" x14ac:dyDescent="0.2">
      <c r="B12" s="3" t="s">
        <v>528</v>
      </c>
      <c r="C12" s="7">
        <v>2551.3599999999992</v>
      </c>
    </row>
    <row r="13" spans="2:3" x14ac:dyDescent="0.2">
      <c r="B13" s="3" t="s">
        <v>526</v>
      </c>
      <c r="C13" s="7">
        <v>2469.8300000000004</v>
      </c>
    </row>
    <row r="14" spans="2:3" x14ac:dyDescent="0.2">
      <c r="B14" s="3" t="s">
        <v>535</v>
      </c>
      <c r="C14" s="7">
        <v>2469.5100000000002</v>
      </c>
    </row>
    <row r="15" spans="2:3" x14ac:dyDescent="0.2">
      <c r="B15" s="3" t="s">
        <v>542</v>
      </c>
      <c r="C15" s="7">
        <v>58403.540000000008</v>
      </c>
    </row>
  </sheetData>
  <mergeCells count="1">
    <mergeCell ref="B3:C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1"/>
  <sheetViews>
    <sheetView topLeftCell="A2" zoomScale="217" zoomScaleNormal="217" workbookViewId="0">
      <selection activeCell="K1" sqref="A1:L828"/>
    </sheetView>
  </sheetViews>
  <sheetFormatPr baseColWidth="10" defaultColWidth="8.83203125" defaultRowHeight="15" x14ac:dyDescent="0.2"/>
  <cols>
    <col min="1" max="1" width="10" customWidth="1"/>
    <col min="5" max="5" width="10.33203125" customWidth="1"/>
    <col min="6" max="6" width="9.6640625" customWidth="1"/>
    <col min="7" max="9" width="11.1640625" customWidth="1"/>
  </cols>
  <sheetData>
    <row r="1" spans="1:12" x14ac:dyDescent="0.2">
      <c r="A1" s="1" t="s">
        <v>0</v>
      </c>
      <c r="B1" s="1" t="s">
        <v>1</v>
      </c>
      <c r="C1" s="1" t="s">
        <v>2</v>
      </c>
      <c r="D1" s="1" t="s">
        <v>3</v>
      </c>
      <c r="E1" s="1" t="s">
        <v>4</v>
      </c>
      <c r="F1" s="1" t="s">
        <v>5</v>
      </c>
      <c r="G1" s="1" t="s">
        <v>6</v>
      </c>
      <c r="H1" s="1" t="s">
        <v>7</v>
      </c>
      <c r="I1" s="1" t="s">
        <v>8</v>
      </c>
      <c r="J1" s="1" t="s">
        <v>538</v>
      </c>
      <c r="K1" s="1" t="s">
        <v>539</v>
      </c>
      <c r="L1" s="1" t="s">
        <v>553</v>
      </c>
    </row>
    <row r="2" spans="1:12" x14ac:dyDescent="0.2">
      <c r="A2" t="s">
        <v>9</v>
      </c>
      <c r="B2" s="6">
        <v>45752</v>
      </c>
      <c r="C2" t="s">
        <v>509</v>
      </c>
      <c r="D2" t="s">
        <v>514</v>
      </c>
      <c r="E2" t="s">
        <v>518</v>
      </c>
      <c r="F2" t="s">
        <v>522</v>
      </c>
      <c r="G2">
        <v>4</v>
      </c>
      <c r="H2">
        <v>27.48</v>
      </c>
      <c r="I2">
        <v>12.14</v>
      </c>
      <c r="J2">
        <f t="shared" ref="J2:J65" si="0">(G2*H2)</f>
        <v>109.92</v>
      </c>
      <c r="K2">
        <f t="shared" ref="K2:K65" si="1">(J2-I2)</f>
        <v>97.78</v>
      </c>
      <c r="L2">
        <f>(G2*I2)</f>
        <v>48.56</v>
      </c>
    </row>
    <row r="3" spans="1:12" x14ac:dyDescent="0.2">
      <c r="A3" t="s">
        <v>10</v>
      </c>
      <c r="B3" s="6">
        <v>45669</v>
      </c>
      <c r="C3" t="s">
        <v>510</v>
      </c>
      <c r="D3" t="s">
        <v>515</v>
      </c>
      <c r="E3" t="s">
        <v>518</v>
      </c>
      <c r="F3" t="s">
        <v>523</v>
      </c>
      <c r="G3">
        <v>1</v>
      </c>
      <c r="H3">
        <v>24.31</v>
      </c>
      <c r="I3">
        <v>9.94</v>
      </c>
      <c r="J3">
        <f t="shared" si="0"/>
        <v>24.31</v>
      </c>
      <c r="K3">
        <f t="shared" si="1"/>
        <v>14.37</v>
      </c>
      <c r="L3">
        <f t="shared" ref="L3:L66" si="2">(G3*I3)</f>
        <v>9.94</v>
      </c>
    </row>
    <row r="4" spans="1:12" x14ac:dyDescent="0.2">
      <c r="A4" t="s">
        <v>11</v>
      </c>
      <c r="B4" s="6">
        <v>45722</v>
      </c>
      <c r="C4" t="s">
        <v>510</v>
      </c>
      <c r="D4" t="s">
        <v>516</v>
      </c>
      <c r="E4" t="s">
        <v>519</v>
      </c>
      <c r="F4" t="s">
        <v>524</v>
      </c>
      <c r="G4">
        <v>4</v>
      </c>
      <c r="H4">
        <v>23.24</v>
      </c>
      <c r="I4">
        <v>14.29</v>
      </c>
      <c r="J4">
        <f t="shared" si="0"/>
        <v>92.96</v>
      </c>
      <c r="K4">
        <f t="shared" si="1"/>
        <v>78.669999999999987</v>
      </c>
      <c r="L4">
        <f t="shared" si="2"/>
        <v>57.16</v>
      </c>
    </row>
    <row r="5" spans="1:12" x14ac:dyDescent="0.2">
      <c r="A5" t="s">
        <v>12</v>
      </c>
      <c r="B5" s="6">
        <v>45715</v>
      </c>
      <c r="C5" t="s">
        <v>510</v>
      </c>
      <c r="D5" t="s">
        <v>517</v>
      </c>
      <c r="E5" t="s">
        <v>520</v>
      </c>
      <c r="F5" t="s">
        <v>525</v>
      </c>
      <c r="G5">
        <v>1</v>
      </c>
      <c r="H5">
        <v>67.62</v>
      </c>
      <c r="I5">
        <v>42.44</v>
      </c>
      <c r="J5">
        <f t="shared" si="0"/>
        <v>67.62</v>
      </c>
      <c r="K5">
        <f t="shared" si="1"/>
        <v>25.180000000000007</v>
      </c>
      <c r="L5">
        <f t="shared" si="2"/>
        <v>42.44</v>
      </c>
    </row>
    <row r="6" spans="1:12" x14ac:dyDescent="0.2">
      <c r="A6" t="s">
        <v>13</v>
      </c>
      <c r="B6" s="6">
        <v>45701</v>
      </c>
      <c r="C6" t="s">
        <v>509</v>
      </c>
      <c r="D6" t="s">
        <v>514</v>
      </c>
      <c r="E6" t="s">
        <v>519</v>
      </c>
      <c r="F6" t="s">
        <v>526</v>
      </c>
      <c r="G6">
        <v>4</v>
      </c>
      <c r="H6">
        <v>18.829999999999998</v>
      </c>
      <c r="I6">
        <v>12.94</v>
      </c>
      <c r="J6">
        <f t="shared" si="0"/>
        <v>75.319999999999993</v>
      </c>
      <c r="K6">
        <f t="shared" si="1"/>
        <v>62.379999999999995</v>
      </c>
      <c r="L6">
        <f t="shared" si="2"/>
        <v>51.76</v>
      </c>
    </row>
    <row r="7" spans="1:12" x14ac:dyDescent="0.2">
      <c r="A7" t="s">
        <v>14</v>
      </c>
      <c r="B7" s="6">
        <v>45669</v>
      </c>
      <c r="C7" t="s">
        <v>511</v>
      </c>
      <c r="D7" t="s">
        <v>516</v>
      </c>
      <c r="E7" t="s">
        <v>521</v>
      </c>
      <c r="F7" t="s">
        <v>527</v>
      </c>
      <c r="G7">
        <v>6</v>
      </c>
      <c r="H7">
        <v>16.829999999999998</v>
      </c>
      <c r="I7">
        <v>11.01</v>
      </c>
      <c r="J7">
        <f t="shared" si="0"/>
        <v>100.97999999999999</v>
      </c>
      <c r="K7">
        <f t="shared" si="1"/>
        <v>89.969999999999985</v>
      </c>
      <c r="L7">
        <f t="shared" si="2"/>
        <v>66.06</v>
      </c>
    </row>
    <row r="8" spans="1:12" x14ac:dyDescent="0.2">
      <c r="A8" t="s">
        <v>15</v>
      </c>
      <c r="B8" s="6">
        <v>45751</v>
      </c>
      <c r="C8" t="s">
        <v>511</v>
      </c>
      <c r="D8" t="s">
        <v>516</v>
      </c>
      <c r="E8" t="s">
        <v>521</v>
      </c>
      <c r="F8" t="s">
        <v>527</v>
      </c>
      <c r="G8">
        <v>7</v>
      </c>
      <c r="H8">
        <v>25.9</v>
      </c>
      <c r="I8">
        <v>10.97</v>
      </c>
      <c r="J8">
        <f t="shared" si="0"/>
        <v>181.29999999999998</v>
      </c>
      <c r="K8">
        <f t="shared" si="1"/>
        <v>170.32999999999998</v>
      </c>
      <c r="L8">
        <f t="shared" si="2"/>
        <v>76.790000000000006</v>
      </c>
    </row>
    <row r="9" spans="1:12" x14ac:dyDescent="0.2">
      <c r="A9" t="s">
        <v>16</v>
      </c>
      <c r="B9" s="6">
        <v>45731</v>
      </c>
      <c r="C9" t="s">
        <v>512</v>
      </c>
      <c r="D9" t="s">
        <v>516</v>
      </c>
      <c r="E9" t="s">
        <v>521</v>
      </c>
      <c r="F9" t="s">
        <v>528</v>
      </c>
      <c r="G9">
        <v>1</v>
      </c>
      <c r="H9">
        <v>21.84</v>
      </c>
      <c r="I9">
        <v>13.07</v>
      </c>
      <c r="J9">
        <f t="shared" si="0"/>
        <v>21.84</v>
      </c>
      <c r="K9">
        <f t="shared" si="1"/>
        <v>8.77</v>
      </c>
      <c r="L9">
        <f t="shared" si="2"/>
        <v>13.07</v>
      </c>
    </row>
    <row r="10" spans="1:12" x14ac:dyDescent="0.2">
      <c r="A10" t="s">
        <v>17</v>
      </c>
      <c r="B10" s="6">
        <v>45767</v>
      </c>
      <c r="C10" t="s">
        <v>512</v>
      </c>
      <c r="D10" t="s">
        <v>516</v>
      </c>
      <c r="E10" t="s">
        <v>521</v>
      </c>
      <c r="F10" t="s">
        <v>527</v>
      </c>
      <c r="G10">
        <v>7</v>
      </c>
      <c r="H10">
        <v>15.65</v>
      </c>
      <c r="I10">
        <v>7.57</v>
      </c>
      <c r="J10">
        <f t="shared" si="0"/>
        <v>109.55</v>
      </c>
      <c r="K10">
        <f t="shared" si="1"/>
        <v>101.97999999999999</v>
      </c>
      <c r="L10">
        <f t="shared" si="2"/>
        <v>52.99</v>
      </c>
    </row>
    <row r="11" spans="1:12" x14ac:dyDescent="0.2">
      <c r="A11" t="s">
        <v>18</v>
      </c>
      <c r="B11" s="6">
        <v>45705</v>
      </c>
      <c r="C11" t="s">
        <v>509</v>
      </c>
      <c r="D11" t="s">
        <v>514</v>
      </c>
      <c r="E11" t="s">
        <v>521</v>
      </c>
      <c r="F11" t="s">
        <v>529</v>
      </c>
      <c r="G11">
        <v>5</v>
      </c>
      <c r="H11">
        <v>20.71</v>
      </c>
      <c r="I11">
        <v>12.64</v>
      </c>
      <c r="J11">
        <f t="shared" si="0"/>
        <v>103.55000000000001</v>
      </c>
      <c r="K11">
        <f t="shared" si="1"/>
        <v>90.910000000000011</v>
      </c>
      <c r="L11">
        <f t="shared" si="2"/>
        <v>63.2</v>
      </c>
    </row>
    <row r="12" spans="1:12" x14ac:dyDescent="0.2">
      <c r="A12" t="s">
        <v>19</v>
      </c>
      <c r="B12" s="6">
        <v>45739</v>
      </c>
      <c r="C12" t="s">
        <v>512</v>
      </c>
      <c r="D12" t="s">
        <v>514</v>
      </c>
      <c r="E12" t="s">
        <v>518</v>
      </c>
      <c r="F12" t="s">
        <v>523</v>
      </c>
      <c r="G12">
        <v>3</v>
      </c>
      <c r="H12">
        <v>22.68</v>
      </c>
      <c r="I12">
        <v>12.22</v>
      </c>
      <c r="J12">
        <f t="shared" si="0"/>
        <v>68.039999999999992</v>
      </c>
      <c r="K12">
        <f t="shared" si="1"/>
        <v>55.819999999999993</v>
      </c>
      <c r="L12">
        <f t="shared" si="2"/>
        <v>36.660000000000004</v>
      </c>
    </row>
    <row r="13" spans="1:12" x14ac:dyDescent="0.2">
      <c r="A13" t="s">
        <v>20</v>
      </c>
      <c r="B13" s="6">
        <v>45745</v>
      </c>
      <c r="C13" t="s">
        <v>509</v>
      </c>
      <c r="D13" t="s">
        <v>516</v>
      </c>
      <c r="E13" t="s">
        <v>521</v>
      </c>
      <c r="F13" t="s">
        <v>529</v>
      </c>
      <c r="G13">
        <v>4</v>
      </c>
      <c r="H13">
        <v>15.67</v>
      </c>
      <c r="I13">
        <v>10.130000000000001</v>
      </c>
      <c r="J13">
        <f t="shared" si="0"/>
        <v>62.68</v>
      </c>
      <c r="K13">
        <f t="shared" si="1"/>
        <v>52.55</v>
      </c>
      <c r="L13">
        <f t="shared" si="2"/>
        <v>40.520000000000003</v>
      </c>
    </row>
    <row r="14" spans="1:12" x14ac:dyDescent="0.2">
      <c r="A14" t="s">
        <v>21</v>
      </c>
      <c r="B14" s="6">
        <v>45692</v>
      </c>
      <c r="C14" t="s">
        <v>513</v>
      </c>
      <c r="D14" t="s">
        <v>514</v>
      </c>
      <c r="E14" t="s">
        <v>521</v>
      </c>
      <c r="F14" t="s">
        <v>530</v>
      </c>
      <c r="G14">
        <v>6</v>
      </c>
      <c r="H14">
        <v>19.21</v>
      </c>
      <c r="I14">
        <v>8.91</v>
      </c>
      <c r="J14">
        <f t="shared" si="0"/>
        <v>115.26</v>
      </c>
      <c r="K14">
        <f t="shared" si="1"/>
        <v>106.35000000000001</v>
      </c>
      <c r="L14">
        <f t="shared" si="2"/>
        <v>53.46</v>
      </c>
    </row>
    <row r="15" spans="1:12" x14ac:dyDescent="0.2">
      <c r="A15" t="s">
        <v>22</v>
      </c>
      <c r="B15" s="6">
        <v>45771</v>
      </c>
      <c r="C15" t="s">
        <v>511</v>
      </c>
      <c r="D15" t="s">
        <v>514</v>
      </c>
      <c r="E15" t="s">
        <v>520</v>
      </c>
      <c r="F15" t="s">
        <v>531</v>
      </c>
      <c r="G15">
        <v>5</v>
      </c>
      <c r="H15">
        <v>50.43</v>
      </c>
      <c r="I15">
        <v>22.28</v>
      </c>
      <c r="J15">
        <f t="shared" si="0"/>
        <v>252.15</v>
      </c>
      <c r="K15">
        <f t="shared" si="1"/>
        <v>229.87</v>
      </c>
      <c r="L15">
        <f t="shared" si="2"/>
        <v>111.4</v>
      </c>
    </row>
    <row r="16" spans="1:12" x14ac:dyDescent="0.2">
      <c r="A16" t="s">
        <v>23</v>
      </c>
      <c r="B16" s="6">
        <v>45772</v>
      </c>
      <c r="C16" t="s">
        <v>510</v>
      </c>
      <c r="D16" t="s">
        <v>515</v>
      </c>
      <c r="E16" t="s">
        <v>521</v>
      </c>
      <c r="F16" t="s">
        <v>530</v>
      </c>
      <c r="G16">
        <v>6</v>
      </c>
      <c r="H16">
        <v>9.3800000000000008</v>
      </c>
      <c r="I16">
        <v>4.37</v>
      </c>
      <c r="J16">
        <f t="shared" si="0"/>
        <v>56.28</v>
      </c>
      <c r="K16">
        <f t="shared" si="1"/>
        <v>51.910000000000004</v>
      </c>
      <c r="L16">
        <f t="shared" si="2"/>
        <v>26.22</v>
      </c>
    </row>
    <row r="17" spans="1:12" x14ac:dyDescent="0.2">
      <c r="A17" t="s">
        <v>24</v>
      </c>
      <c r="B17" s="6">
        <v>45721</v>
      </c>
      <c r="C17" t="s">
        <v>513</v>
      </c>
      <c r="D17" t="s">
        <v>516</v>
      </c>
      <c r="E17" t="s">
        <v>519</v>
      </c>
      <c r="F17" t="s">
        <v>532</v>
      </c>
      <c r="G17">
        <v>2</v>
      </c>
      <c r="H17">
        <v>17.190000000000001</v>
      </c>
      <c r="I17">
        <v>7.66</v>
      </c>
      <c r="J17">
        <f t="shared" si="0"/>
        <v>34.380000000000003</v>
      </c>
      <c r="K17">
        <f t="shared" si="1"/>
        <v>26.720000000000002</v>
      </c>
      <c r="L17">
        <f t="shared" si="2"/>
        <v>15.32</v>
      </c>
    </row>
    <row r="18" spans="1:12" x14ac:dyDescent="0.2">
      <c r="A18" t="s">
        <v>25</v>
      </c>
      <c r="B18" s="6">
        <v>45734</v>
      </c>
      <c r="C18" t="s">
        <v>513</v>
      </c>
      <c r="D18" t="s">
        <v>515</v>
      </c>
      <c r="E18" t="s">
        <v>519</v>
      </c>
      <c r="F18" t="s">
        <v>526</v>
      </c>
      <c r="G18">
        <v>7</v>
      </c>
      <c r="H18">
        <v>14.94</v>
      </c>
      <c r="I18">
        <v>8.65</v>
      </c>
      <c r="J18">
        <f t="shared" si="0"/>
        <v>104.58</v>
      </c>
      <c r="K18">
        <f t="shared" si="1"/>
        <v>95.929999999999993</v>
      </c>
      <c r="L18">
        <f t="shared" si="2"/>
        <v>60.550000000000004</v>
      </c>
    </row>
    <row r="19" spans="1:12" x14ac:dyDescent="0.2">
      <c r="A19" t="s">
        <v>26</v>
      </c>
      <c r="B19" s="6">
        <v>45728</v>
      </c>
      <c r="C19" t="s">
        <v>513</v>
      </c>
      <c r="D19" t="s">
        <v>516</v>
      </c>
      <c r="E19" t="s">
        <v>520</v>
      </c>
      <c r="F19" t="s">
        <v>531</v>
      </c>
      <c r="G19">
        <v>5</v>
      </c>
      <c r="H19">
        <v>61.57</v>
      </c>
      <c r="I19">
        <v>38.82</v>
      </c>
      <c r="J19">
        <f t="shared" si="0"/>
        <v>307.85000000000002</v>
      </c>
      <c r="K19">
        <f t="shared" si="1"/>
        <v>269.03000000000003</v>
      </c>
      <c r="L19">
        <f t="shared" si="2"/>
        <v>194.1</v>
      </c>
    </row>
    <row r="20" spans="1:12" x14ac:dyDescent="0.2">
      <c r="A20" t="s">
        <v>27</v>
      </c>
      <c r="B20" s="6">
        <v>45695</v>
      </c>
      <c r="C20" t="s">
        <v>511</v>
      </c>
      <c r="D20" t="s">
        <v>514</v>
      </c>
      <c r="E20" t="s">
        <v>521</v>
      </c>
      <c r="F20" t="s">
        <v>527</v>
      </c>
      <c r="G20">
        <v>8</v>
      </c>
      <c r="H20">
        <v>13.46</v>
      </c>
      <c r="I20">
        <v>5.4</v>
      </c>
      <c r="J20">
        <f t="shared" si="0"/>
        <v>107.68</v>
      </c>
      <c r="K20">
        <f t="shared" si="1"/>
        <v>102.28</v>
      </c>
      <c r="L20">
        <f t="shared" si="2"/>
        <v>43.2</v>
      </c>
    </row>
    <row r="21" spans="1:12" x14ac:dyDescent="0.2">
      <c r="A21" t="s">
        <v>28</v>
      </c>
      <c r="B21" s="6">
        <v>45722</v>
      </c>
      <c r="C21" t="s">
        <v>513</v>
      </c>
      <c r="D21" t="s">
        <v>517</v>
      </c>
      <c r="E21" t="s">
        <v>521</v>
      </c>
      <c r="F21" t="s">
        <v>529</v>
      </c>
      <c r="G21">
        <v>4</v>
      </c>
      <c r="H21">
        <v>10.94</v>
      </c>
      <c r="I21">
        <v>4.88</v>
      </c>
      <c r="J21">
        <f t="shared" si="0"/>
        <v>43.76</v>
      </c>
      <c r="K21">
        <f t="shared" si="1"/>
        <v>38.879999999999995</v>
      </c>
      <c r="L21">
        <f t="shared" si="2"/>
        <v>19.52</v>
      </c>
    </row>
    <row r="22" spans="1:12" x14ac:dyDescent="0.2">
      <c r="A22" t="s">
        <v>29</v>
      </c>
      <c r="B22" s="6">
        <v>45757</v>
      </c>
      <c r="C22" t="s">
        <v>510</v>
      </c>
      <c r="D22" t="s">
        <v>516</v>
      </c>
      <c r="E22" t="s">
        <v>519</v>
      </c>
      <c r="F22" t="s">
        <v>532</v>
      </c>
      <c r="G22">
        <v>6</v>
      </c>
      <c r="H22">
        <v>27.33</v>
      </c>
      <c r="I22">
        <v>14.94</v>
      </c>
      <c r="J22">
        <f t="shared" si="0"/>
        <v>163.98</v>
      </c>
      <c r="K22">
        <f t="shared" si="1"/>
        <v>149.04</v>
      </c>
      <c r="L22">
        <f t="shared" si="2"/>
        <v>89.64</v>
      </c>
    </row>
    <row r="23" spans="1:12" x14ac:dyDescent="0.2">
      <c r="A23" t="s">
        <v>30</v>
      </c>
      <c r="B23" s="6">
        <v>45770</v>
      </c>
      <c r="C23" t="s">
        <v>509</v>
      </c>
      <c r="D23" t="s">
        <v>514</v>
      </c>
      <c r="E23" t="s">
        <v>518</v>
      </c>
      <c r="F23" t="s">
        <v>533</v>
      </c>
      <c r="G23">
        <v>1</v>
      </c>
      <c r="H23">
        <v>23.87</v>
      </c>
      <c r="I23">
        <v>11.27</v>
      </c>
      <c r="J23">
        <f t="shared" si="0"/>
        <v>23.87</v>
      </c>
      <c r="K23">
        <f t="shared" si="1"/>
        <v>12.600000000000001</v>
      </c>
      <c r="L23">
        <f t="shared" si="2"/>
        <v>11.27</v>
      </c>
    </row>
    <row r="24" spans="1:12" x14ac:dyDescent="0.2">
      <c r="A24" t="s">
        <v>31</v>
      </c>
      <c r="B24" s="6">
        <v>45751</v>
      </c>
      <c r="C24" t="s">
        <v>511</v>
      </c>
      <c r="D24" t="s">
        <v>516</v>
      </c>
      <c r="E24" t="s">
        <v>518</v>
      </c>
      <c r="F24" t="s">
        <v>522</v>
      </c>
      <c r="G24">
        <v>3</v>
      </c>
      <c r="H24">
        <v>25.34</v>
      </c>
      <c r="I24">
        <v>11.11</v>
      </c>
      <c r="J24">
        <f t="shared" si="0"/>
        <v>76.02</v>
      </c>
      <c r="K24">
        <f t="shared" si="1"/>
        <v>64.91</v>
      </c>
      <c r="L24">
        <f t="shared" si="2"/>
        <v>33.33</v>
      </c>
    </row>
    <row r="25" spans="1:12" x14ac:dyDescent="0.2">
      <c r="A25" t="s">
        <v>32</v>
      </c>
      <c r="B25" s="6">
        <v>45691</v>
      </c>
      <c r="C25" t="s">
        <v>510</v>
      </c>
      <c r="D25" t="s">
        <v>515</v>
      </c>
      <c r="E25" t="s">
        <v>520</v>
      </c>
      <c r="F25" t="s">
        <v>525</v>
      </c>
      <c r="G25">
        <v>4</v>
      </c>
      <c r="H25">
        <v>52.88</v>
      </c>
      <c r="I25">
        <v>35.89</v>
      </c>
      <c r="J25">
        <f t="shared" si="0"/>
        <v>211.52</v>
      </c>
      <c r="K25">
        <f t="shared" si="1"/>
        <v>175.63</v>
      </c>
      <c r="L25">
        <f t="shared" si="2"/>
        <v>143.56</v>
      </c>
    </row>
    <row r="26" spans="1:12" x14ac:dyDescent="0.2">
      <c r="A26" t="s">
        <v>33</v>
      </c>
      <c r="B26" s="6">
        <v>45709</v>
      </c>
      <c r="C26" t="s">
        <v>509</v>
      </c>
      <c r="D26" t="s">
        <v>515</v>
      </c>
      <c r="E26" t="s">
        <v>519</v>
      </c>
      <c r="F26" t="s">
        <v>534</v>
      </c>
      <c r="G26">
        <v>8</v>
      </c>
      <c r="H26">
        <v>17.28</v>
      </c>
      <c r="I26">
        <v>7.54</v>
      </c>
      <c r="J26">
        <f t="shared" si="0"/>
        <v>138.24</v>
      </c>
      <c r="K26">
        <f t="shared" si="1"/>
        <v>130.70000000000002</v>
      </c>
      <c r="L26">
        <f t="shared" si="2"/>
        <v>60.32</v>
      </c>
    </row>
    <row r="27" spans="1:12" x14ac:dyDescent="0.2">
      <c r="A27" t="s">
        <v>34</v>
      </c>
      <c r="B27" s="6">
        <v>45701</v>
      </c>
      <c r="C27" t="s">
        <v>513</v>
      </c>
      <c r="D27" t="s">
        <v>514</v>
      </c>
      <c r="E27" t="s">
        <v>519</v>
      </c>
      <c r="F27" t="s">
        <v>535</v>
      </c>
      <c r="G27">
        <v>4</v>
      </c>
      <c r="H27">
        <v>20.55</v>
      </c>
      <c r="I27">
        <v>8.26</v>
      </c>
      <c r="J27">
        <f t="shared" si="0"/>
        <v>82.2</v>
      </c>
      <c r="K27">
        <f t="shared" si="1"/>
        <v>73.94</v>
      </c>
      <c r="L27">
        <f t="shared" si="2"/>
        <v>33.04</v>
      </c>
    </row>
    <row r="28" spans="1:12" x14ac:dyDescent="0.2">
      <c r="A28" t="s">
        <v>35</v>
      </c>
      <c r="B28" s="6">
        <v>45666</v>
      </c>
      <c r="C28" t="s">
        <v>513</v>
      </c>
      <c r="D28" t="s">
        <v>517</v>
      </c>
      <c r="E28" t="s">
        <v>518</v>
      </c>
      <c r="F28" t="s">
        <v>536</v>
      </c>
      <c r="G28">
        <v>2</v>
      </c>
      <c r="H28">
        <v>19.25</v>
      </c>
      <c r="I28">
        <v>10.67</v>
      </c>
      <c r="J28">
        <f t="shared" si="0"/>
        <v>38.5</v>
      </c>
      <c r="K28">
        <f t="shared" si="1"/>
        <v>27.83</v>
      </c>
      <c r="L28">
        <f t="shared" si="2"/>
        <v>21.34</v>
      </c>
    </row>
    <row r="29" spans="1:12" x14ac:dyDescent="0.2">
      <c r="A29" t="s">
        <v>36</v>
      </c>
      <c r="B29" s="6">
        <v>45685</v>
      </c>
      <c r="C29" t="s">
        <v>510</v>
      </c>
      <c r="D29" t="s">
        <v>514</v>
      </c>
      <c r="E29" t="s">
        <v>521</v>
      </c>
      <c r="F29" t="s">
        <v>530</v>
      </c>
      <c r="G29">
        <v>8</v>
      </c>
      <c r="H29">
        <v>19.88</v>
      </c>
      <c r="I29">
        <v>9.4</v>
      </c>
      <c r="J29">
        <f t="shared" si="0"/>
        <v>159.04</v>
      </c>
      <c r="K29">
        <f t="shared" si="1"/>
        <v>149.63999999999999</v>
      </c>
      <c r="L29">
        <f t="shared" si="2"/>
        <v>75.2</v>
      </c>
    </row>
    <row r="30" spans="1:12" x14ac:dyDescent="0.2">
      <c r="A30" t="s">
        <v>37</v>
      </c>
      <c r="B30" s="6">
        <v>45682</v>
      </c>
      <c r="C30" t="s">
        <v>513</v>
      </c>
      <c r="D30" t="s">
        <v>516</v>
      </c>
      <c r="E30" t="s">
        <v>520</v>
      </c>
      <c r="F30" t="s">
        <v>531</v>
      </c>
      <c r="G30">
        <v>7</v>
      </c>
      <c r="H30">
        <v>57</v>
      </c>
      <c r="I30">
        <v>28.86</v>
      </c>
      <c r="J30">
        <f t="shared" si="0"/>
        <v>399</v>
      </c>
      <c r="K30">
        <f t="shared" si="1"/>
        <v>370.14</v>
      </c>
      <c r="L30">
        <f t="shared" si="2"/>
        <v>202.01999999999998</v>
      </c>
    </row>
    <row r="31" spans="1:12" x14ac:dyDescent="0.2">
      <c r="A31" t="s">
        <v>38</v>
      </c>
      <c r="B31" s="6">
        <v>45768</v>
      </c>
      <c r="C31" t="s">
        <v>513</v>
      </c>
      <c r="D31" t="s">
        <v>516</v>
      </c>
      <c r="E31" t="s">
        <v>520</v>
      </c>
      <c r="F31" t="s">
        <v>531</v>
      </c>
      <c r="G31">
        <v>1</v>
      </c>
      <c r="H31">
        <v>58.54</v>
      </c>
      <c r="I31">
        <v>30.49</v>
      </c>
      <c r="J31">
        <f t="shared" si="0"/>
        <v>58.54</v>
      </c>
      <c r="K31">
        <f t="shared" si="1"/>
        <v>28.05</v>
      </c>
      <c r="L31">
        <f t="shared" si="2"/>
        <v>30.49</v>
      </c>
    </row>
    <row r="32" spans="1:12" x14ac:dyDescent="0.2">
      <c r="A32" t="s">
        <v>39</v>
      </c>
      <c r="B32" s="6">
        <v>45689</v>
      </c>
      <c r="C32" t="s">
        <v>512</v>
      </c>
      <c r="D32" t="s">
        <v>514</v>
      </c>
      <c r="E32" t="s">
        <v>521</v>
      </c>
      <c r="F32" t="s">
        <v>527</v>
      </c>
      <c r="G32">
        <v>8</v>
      </c>
      <c r="H32">
        <v>14.99</v>
      </c>
      <c r="I32">
        <v>6.63</v>
      </c>
      <c r="J32">
        <f t="shared" si="0"/>
        <v>119.92</v>
      </c>
      <c r="K32">
        <f t="shared" si="1"/>
        <v>113.29</v>
      </c>
      <c r="L32">
        <f t="shared" si="2"/>
        <v>53.04</v>
      </c>
    </row>
    <row r="33" spans="1:12" x14ac:dyDescent="0.2">
      <c r="A33" t="s">
        <v>40</v>
      </c>
      <c r="B33" s="6">
        <v>45717</v>
      </c>
      <c r="C33" t="s">
        <v>512</v>
      </c>
      <c r="D33" t="s">
        <v>516</v>
      </c>
      <c r="E33" t="s">
        <v>519</v>
      </c>
      <c r="F33" t="s">
        <v>534</v>
      </c>
      <c r="G33">
        <v>8</v>
      </c>
      <c r="H33">
        <v>29.26</v>
      </c>
      <c r="I33">
        <v>18.8</v>
      </c>
      <c r="J33">
        <f t="shared" si="0"/>
        <v>234.08</v>
      </c>
      <c r="K33">
        <f t="shared" si="1"/>
        <v>215.28</v>
      </c>
      <c r="L33">
        <f t="shared" si="2"/>
        <v>150.4</v>
      </c>
    </row>
    <row r="34" spans="1:12" x14ac:dyDescent="0.2">
      <c r="A34" t="s">
        <v>41</v>
      </c>
      <c r="B34" s="6">
        <v>45741</v>
      </c>
      <c r="C34" t="s">
        <v>510</v>
      </c>
      <c r="D34" t="s">
        <v>516</v>
      </c>
      <c r="E34" t="s">
        <v>518</v>
      </c>
      <c r="F34" t="s">
        <v>522</v>
      </c>
      <c r="G34">
        <v>2</v>
      </c>
      <c r="H34">
        <v>24.93</v>
      </c>
      <c r="I34">
        <v>16.899999999999999</v>
      </c>
      <c r="J34">
        <f t="shared" si="0"/>
        <v>49.86</v>
      </c>
      <c r="K34">
        <f t="shared" si="1"/>
        <v>32.96</v>
      </c>
      <c r="L34">
        <f t="shared" si="2"/>
        <v>33.799999999999997</v>
      </c>
    </row>
    <row r="35" spans="1:12" x14ac:dyDescent="0.2">
      <c r="A35" t="s">
        <v>42</v>
      </c>
      <c r="B35" s="6">
        <v>45710</v>
      </c>
      <c r="C35" t="s">
        <v>511</v>
      </c>
      <c r="D35" t="s">
        <v>515</v>
      </c>
      <c r="E35" t="s">
        <v>519</v>
      </c>
      <c r="F35" t="s">
        <v>524</v>
      </c>
      <c r="G35">
        <v>4</v>
      </c>
      <c r="H35">
        <v>14.71</v>
      </c>
      <c r="I35">
        <v>9.6999999999999993</v>
      </c>
      <c r="J35">
        <f t="shared" si="0"/>
        <v>58.84</v>
      </c>
      <c r="K35">
        <f t="shared" si="1"/>
        <v>49.14</v>
      </c>
      <c r="L35">
        <f t="shared" si="2"/>
        <v>38.799999999999997</v>
      </c>
    </row>
    <row r="36" spans="1:12" x14ac:dyDescent="0.2">
      <c r="A36" t="s">
        <v>43</v>
      </c>
      <c r="B36" s="6">
        <v>45706</v>
      </c>
      <c r="C36" t="s">
        <v>513</v>
      </c>
      <c r="D36" t="s">
        <v>515</v>
      </c>
      <c r="E36" t="s">
        <v>518</v>
      </c>
      <c r="F36" t="s">
        <v>536</v>
      </c>
      <c r="G36">
        <v>5</v>
      </c>
      <c r="H36">
        <v>29.11</v>
      </c>
      <c r="I36">
        <v>19.739999999999998</v>
      </c>
      <c r="J36">
        <f t="shared" si="0"/>
        <v>145.55000000000001</v>
      </c>
      <c r="K36">
        <f t="shared" si="1"/>
        <v>125.81000000000002</v>
      </c>
      <c r="L36">
        <f t="shared" si="2"/>
        <v>98.699999999999989</v>
      </c>
    </row>
    <row r="37" spans="1:12" x14ac:dyDescent="0.2">
      <c r="A37" t="s">
        <v>44</v>
      </c>
      <c r="B37" s="6">
        <v>45712</v>
      </c>
      <c r="C37" t="s">
        <v>510</v>
      </c>
      <c r="D37" t="s">
        <v>515</v>
      </c>
      <c r="E37" t="s">
        <v>520</v>
      </c>
      <c r="F37" t="s">
        <v>531</v>
      </c>
      <c r="G37">
        <v>3</v>
      </c>
      <c r="H37">
        <v>53.9</v>
      </c>
      <c r="I37">
        <v>24.63</v>
      </c>
      <c r="J37">
        <f t="shared" si="0"/>
        <v>161.69999999999999</v>
      </c>
      <c r="K37">
        <f t="shared" si="1"/>
        <v>137.07</v>
      </c>
      <c r="L37">
        <f t="shared" si="2"/>
        <v>73.89</v>
      </c>
    </row>
    <row r="38" spans="1:12" x14ac:dyDescent="0.2">
      <c r="A38" t="s">
        <v>45</v>
      </c>
      <c r="B38" s="6">
        <v>45732</v>
      </c>
      <c r="C38" t="s">
        <v>510</v>
      </c>
      <c r="D38" t="s">
        <v>516</v>
      </c>
      <c r="E38" t="s">
        <v>519</v>
      </c>
      <c r="F38" t="s">
        <v>535</v>
      </c>
      <c r="G38">
        <v>6</v>
      </c>
      <c r="H38">
        <v>21.04</v>
      </c>
      <c r="I38">
        <v>8.7799999999999994</v>
      </c>
      <c r="J38">
        <f t="shared" si="0"/>
        <v>126.24</v>
      </c>
      <c r="K38">
        <f t="shared" si="1"/>
        <v>117.46</v>
      </c>
      <c r="L38">
        <f t="shared" si="2"/>
        <v>52.679999999999993</v>
      </c>
    </row>
    <row r="39" spans="1:12" x14ac:dyDescent="0.2">
      <c r="A39" t="s">
        <v>46</v>
      </c>
      <c r="B39" s="6">
        <v>45665</v>
      </c>
      <c r="C39" t="s">
        <v>510</v>
      </c>
      <c r="D39" t="s">
        <v>516</v>
      </c>
      <c r="E39" t="s">
        <v>520</v>
      </c>
      <c r="F39" t="s">
        <v>525</v>
      </c>
      <c r="G39">
        <v>3</v>
      </c>
      <c r="H39">
        <v>50.2</v>
      </c>
      <c r="I39">
        <v>21.11</v>
      </c>
      <c r="J39">
        <f t="shared" si="0"/>
        <v>150.60000000000002</v>
      </c>
      <c r="K39">
        <f t="shared" si="1"/>
        <v>129.49</v>
      </c>
      <c r="L39">
        <f t="shared" si="2"/>
        <v>63.33</v>
      </c>
    </row>
    <row r="40" spans="1:12" x14ac:dyDescent="0.2">
      <c r="A40" t="s">
        <v>47</v>
      </c>
      <c r="B40" s="6">
        <v>45709</v>
      </c>
      <c r="C40" t="s">
        <v>513</v>
      </c>
      <c r="D40" t="s">
        <v>514</v>
      </c>
      <c r="E40" t="s">
        <v>518</v>
      </c>
      <c r="F40" t="s">
        <v>536</v>
      </c>
      <c r="G40">
        <v>1</v>
      </c>
      <c r="H40">
        <v>18.36</v>
      </c>
      <c r="I40">
        <v>10.76</v>
      </c>
      <c r="J40">
        <f t="shared" si="0"/>
        <v>18.36</v>
      </c>
      <c r="K40">
        <f t="shared" si="1"/>
        <v>7.6</v>
      </c>
      <c r="L40">
        <f t="shared" si="2"/>
        <v>10.76</v>
      </c>
    </row>
    <row r="41" spans="1:12" x14ac:dyDescent="0.2">
      <c r="A41" t="s">
        <v>48</v>
      </c>
      <c r="B41" s="6">
        <v>45777</v>
      </c>
      <c r="C41" t="s">
        <v>509</v>
      </c>
      <c r="D41" t="s">
        <v>514</v>
      </c>
      <c r="E41" t="s">
        <v>520</v>
      </c>
      <c r="F41" t="s">
        <v>531</v>
      </c>
      <c r="G41">
        <v>6</v>
      </c>
      <c r="H41">
        <v>60.98</v>
      </c>
      <c r="I41">
        <v>28.76</v>
      </c>
      <c r="J41">
        <f t="shared" si="0"/>
        <v>365.88</v>
      </c>
      <c r="K41">
        <f t="shared" si="1"/>
        <v>337.12</v>
      </c>
      <c r="L41">
        <f t="shared" si="2"/>
        <v>172.56</v>
      </c>
    </row>
    <row r="42" spans="1:12" x14ac:dyDescent="0.2">
      <c r="A42" t="s">
        <v>49</v>
      </c>
      <c r="B42" s="6">
        <v>45743</v>
      </c>
      <c r="C42" t="s">
        <v>509</v>
      </c>
      <c r="D42" t="s">
        <v>515</v>
      </c>
      <c r="E42" t="s">
        <v>520</v>
      </c>
      <c r="F42" t="s">
        <v>525</v>
      </c>
      <c r="G42">
        <v>6</v>
      </c>
      <c r="H42">
        <v>63.69</v>
      </c>
      <c r="I42">
        <v>43.23</v>
      </c>
      <c r="J42">
        <f t="shared" si="0"/>
        <v>382.14</v>
      </c>
      <c r="K42">
        <f t="shared" si="1"/>
        <v>338.90999999999997</v>
      </c>
      <c r="L42">
        <f t="shared" si="2"/>
        <v>259.38</v>
      </c>
    </row>
    <row r="43" spans="1:12" x14ac:dyDescent="0.2">
      <c r="A43" t="s">
        <v>50</v>
      </c>
      <c r="B43" s="6">
        <v>45716</v>
      </c>
      <c r="C43" t="s">
        <v>510</v>
      </c>
      <c r="D43" t="s">
        <v>516</v>
      </c>
      <c r="E43" t="s">
        <v>518</v>
      </c>
      <c r="F43" t="s">
        <v>522</v>
      </c>
      <c r="G43">
        <v>2</v>
      </c>
      <c r="H43">
        <v>25.86</v>
      </c>
      <c r="I43">
        <v>14.51</v>
      </c>
      <c r="J43">
        <f t="shared" si="0"/>
        <v>51.72</v>
      </c>
      <c r="K43">
        <f t="shared" si="1"/>
        <v>37.21</v>
      </c>
      <c r="L43">
        <f t="shared" si="2"/>
        <v>29.02</v>
      </c>
    </row>
    <row r="44" spans="1:12" x14ac:dyDescent="0.2">
      <c r="A44" t="s">
        <v>51</v>
      </c>
      <c r="B44" s="6">
        <v>45777</v>
      </c>
      <c r="C44" t="s">
        <v>509</v>
      </c>
      <c r="D44" t="s">
        <v>516</v>
      </c>
      <c r="E44" t="s">
        <v>521</v>
      </c>
      <c r="F44" t="s">
        <v>529</v>
      </c>
      <c r="G44">
        <v>4</v>
      </c>
      <c r="H44">
        <v>17.420000000000002</v>
      </c>
      <c r="I44">
        <v>8.9</v>
      </c>
      <c r="J44">
        <f t="shared" si="0"/>
        <v>69.680000000000007</v>
      </c>
      <c r="K44">
        <f t="shared" si="1"/>
        <v>60.780000000000008</v>
      </c>
      <c r="L44">
        <f t="shared" si="2"/>
        <v>35.6</v>
      </c>
    </row>
    <row r="45" spans="1:12" x14ac:dyDescent="0.2">
      <c r="A45" t="s">
        <v>52</v>
      </c>
      <c r="B45" s="6">
        <v>45764</v>
      </c>
      <c r="C45" t="s">
        <v>510</v>
      </c>
      <c r="D45" t="s">
        <v>517</v>
      </c>
      <c r="E45" t="s">
        <v>519</v>
      </c>
      <c r="F45" t="s">
        <v>526</v>
      </c>
      <c r="G45">
        <v>1</v>
      </c>
      <c r="H45">
        <v>18.489999999999998</v>
      </c>
      <c r="I45">
        <v>11.1</v>
      </c>
      <c r="J45">
        <f t="shared" si="0"/>
        <v>18.489999999999998</v>
      </c>
      <c r="K45">
        <f t="shared" si="1"/>
        <v>7.3899999999999988</v>
      </c>
      <c r="L45">
        <f t="shared" si="2"/>
        <v>11.1</v>
      </c>
    </row>
    <row r="46" spans="1:12" x14ac:dyDescent="0.2">
      <c r="A46" t="s">
        <v>53</v>
      </c>
      <c r="B46" s="6">
        <v>45778</v>
      </c>
      <c r="C46" t="s">
        <v>512</v>
      </c>
      <c r="D46" t="s">
        <v>517</v>
      </c>
      <c r="E46" t="s">
        <v>521</v>
      </c>
      <c r="F46" t="s">
        <v>527</v>
      </c>
      <c r="G46">
        <v>2</v>
      </c>
      <c r="H46">
        <v>10.61</v>
      </c>
      <c r="I46">
        <v>7.08</v>
      </c>
      <c r="J46">
        <f t="shared" si="0"/>
        <v>21.22</v>
      </c>
      <c r="K46">
        <f t="shared" si="1"/>
        <v>14.139999999999999</v>
      </c>
      <c r="L46">
        <f t="shared" si="2"/>
        <v>14.16</v>
      </c>
    </row>
    <row r="47" spans="1:12" x14ac:dyDescent="0.2">
      <c r="A47" t="s">
        <v>54</v>
      </c>
      <c r="B47" s="6">
        <v>45694</v>
      </c>
      <c r="C47" t="s">
        <v>510</v>
      </c>
      <c r="D47" t="s">
        <v>514</v>
      </c>
      <c r="E47" t="s">
        <v>519</v>
      </c>
      <c r="F47" t="s">
        <v>534</v>
      </c>
      <c r="G47">
        <v>6</v>
      </c>
      <c r="H47">
        <v>16.399999999999999</v>
      </c>
      <c r="I47">
        <v>7.56</v>
      </c>
      <c r="J47">
        <f t="shared" si="0"/>
        <v>98.399999999999991</v>
      </c>
      <c r="K47">
        <f t="shared" si="1"/>
        <v>90.839999999999989</v>
      </c>
      <c r="L47">
        <f t="shared" si="2"/>
        <v>45.36</v>
      </c>
    </row>
    <row r="48" spans="1:12" x14ac:dyDescent="0.2">
      <c r="A48" t="s">
        <v>55</v>
      </c>
      <c r="B48" s="6">
        <v>45690</v>
      </c>
      <c r="C48" t="s">
        <v>513</v>
      </c>
      <c r="D48" t="s">
        <v>516</v>
      </c>
      <c r="E48" t="s">
        <v>521</v>
      </c>
      <c r="F48" t="s">
        <v>530</v>
      </c>
      <c r="G48">
        <v>7</v>
      </c>
      <c r="H48">
        <v>15.7</v>
      </c>
      <c r="I48">
        <v>10.19</v>
      </c>
      <c r="J48">
        <f t="shared" si="0"/>
        <v>109.89999999999999</v>
      </c>
      <c r="K48">
        <f t="shared" si="1"/>
        <v>99.71</v>
      </c>
      <c r="L48">
        <f t="shared" si="2"/>
        <v>71.33</v>
      </c>
    </row>
    <row r="49" spans="1:12" x14ac:dyDescent="0.2">
      <c r="A49" t="s">
        <v>56</v>
      </c>
      <c r="B49" s="6">
        <v>45700</v>
      </c>
      <c r="C49" t="s">
        <v>512</v>
      </c>
      <c r="D49" t="s">
        <v>517</v>
      </c>
      <c r="E49" t="s">
        <v>518</v>
      </c>
      <c r="F49" t="s">
        <v>522</v>
      </c>
      <c r="G49">
        <v>3</v>
      </c>
      <c r="H49">
        <v>30.29</v>
      </c>
      <c r="I49">
        <v>18.850000000000001</v>
      </c>
      <c r="J49">
        <f t="shared" si="0"/>
        <v>90.87</v>
      </c>
      <c r="K49">
        <f t="shared" si="1"/>
        <v>72.02000000000001</v>
      </c>
      <c r="L49">
        <f t="shared" si="2"/>
        <v>56.550000000000004</v>
      </c>
    </row>
    <row r="50" spans="1:12" x14ac:dyDescent="0.2">
      <c r="A50" t="s">
        <v>57</v>
      </c>
      <c r="B50" s="6">
        <v>45672</v>
      </c>
      <c r="C50" t="s">
        <v>513</v>
      </c>
      <c r="D50" t="s">
        <v>514</v>
      </c>
      <c r="E50" t="s">
        <v>520</v>
      </c>
      <c r="F50" t="s">
        <v>525</v>
      </c>
      <c r="G50">
        <v>1</v>
      </c>
      <c r="H50">
        <v>61.72</v>
      </c>
      <c r="I50">
        <v>40.14</v>
      </c>
      <c r="J50">
        <f t="shared" si="0"/>
        <v>61.72</v>
      </c>
      <c r="K50">
        <f t="shared" si="1"/>
        <v>21.58</v>
      </c>
      <c r="L50">
        <f t="shared" si="2"/>
        <v>40.14</v>
      </c>
    </row>
    <row r="51" spans="1:12" x14ac:dyDescent="0.2">
      <c r="A51" t="s">
        <v>58</v>
      </c>
      <c r="B51" s="6">
        <v>45674</v>
      </c>
      <c r="C51" t="s">
        <v>513</v>
      </c>
      <c r="D51" t="s">
        <v>517</v>
      </c>
      <c r="E51" t="s">
        <v>519</v>
      </c>
      <c r="F51" t="s">
        <v>526</v>
      </c>
      <c r="G51">
        <v>6</v>
      </c>
      <c r="H51">
        <v>11.18</v>
      </c>
      <c r="I51">
        <v>7.49</v>
      </c>
      <c r="J51">
        <f t="shared" si="0"/>
        <v>67.08</v>
      </c>
      <c r="K51">
        <f t="shared" si="1"/>
        <v>59.589999999999996</v>
      </c>
      <c r="L51">
        <f t="shared" si="2"/>
        <v>44.94</v>
      </c>
    </row>
    <row r="52" spans="1:12" x14ac:dyDescent="0.2">
      <c r="A52" t="s">
        <v>59</v>
      </c>
      <c r="B52" s="6">
        <v>45684</v>
      </c>
      <c r="C52" t="s">
        <v>512</v>
      </c>
      <c r="D52" t="s">
        <v>516</v>
      </c>
      <c r="E52" t="s">
        <v>518</v>
      </c>
      <c r="F52" t="s">
        <v>533</v>
      </c>
      <c r="G52">
        <v>6</v>
      </c>
      <c r="H52">
        <v>26.62</v>
      </c>
      <c r="I52">
        <v>16.88</v>
      </c>
      <c r="J52">
        <f t="shared" si="0"/>
        <v>159.72</v>
      </c>
      <c r="K52">
        <f t="shared" si="1"/>
        <v>142.84</v>
      </c>
      <c r="L52">
        <f t="shared" si="2"/>
        <v>101.28</v>
      </c>
    </row>
    <row r="53" spans="1:12" x14ac:dyDescent="0.2">
      <c r="A53" t="s">
        <v>60</v>
      </c>
      <c r="B53" s="6">
        <v>45776</v>
      </c>
      <c r="C53" t="s">
        <v>512</v>
      </c>
      <c r="D53" t="s">
        <v>514</v>
      </c>
      <c r="E53" t="s">
        <v>520</v>
      </c>
      <c r="F53" t="s">
        <v>525</v>
      </c>
      <c r="G53">
        <v>3</v>
      </c>
      <c r="H53">
        <v>58.07</v>
      </c>
      <c r="I53">
        <v>38.58</v>
      </c>
      <c r="J53">
        <f t="shared" si="0"/>
        <v>174.21</v>
      </c>
      <c r="K53">
        <f t="shared" si="1"/>
        <v>135.63</v>
      </c>
      <c r="L53">
        <f t="shared" si="2"/>
        <v>115.74</v>
      </c>
    </row>
    <row r="54" spans="1:12" x14ac:dyDescent="0.2">
      <c r="A54" t="s">
        <v>61</v>
      </c>
      <c r="B54" s="6">
        <v>45752</v>
      </c>
      <c r="C54" t="s">
        <v>509</v>
      </c>
      <c r="D54" t="s">
        <v>515</v>
      </c>
      <c r="E54" t="s">
        <v>518</v>
      </c>
      <c r="F54" t="s">
        <v>536</v>
      </c>
      <c r="G54">
        <v>4</v>
      </c>
      <c r="H54">
        <v>21.62</v>
      </c>
      <c r="I54">
        <v>10.38</v>
      </c>
      <c r="J54">
        <f t="shared" si="0"/>
        <v>86.48</v>
      </c>
      <c r="K54">
        <f t="shared" si="1"/>
        <v>76.100000000000009</v>
      </c>
      <c r="L54">
        <f t="shared" si="2"/>
        <v>41.52</v>
      </c>
    </row>
    <row r="55" spans="1:12" x14ac:dyDescent="0.2">
      <c r="A55" t="s">
        <v>62</v>
      </c>
      <c r="B55" s="6">
        <v>45769</v>
      </c>
      <c r="C55" t="s">
        <v>513</v>
      </c>
      <c r="D55" t="s">
        <v>515</v>
      </c>
      <c r="E55" t="s">
        <v>518</v>
      </c>
      <c r="F55" t="s">
        <v>537</v>
      </c>
      <c r="G55">
        <v>4</v>
      </c>
      <c r="H55">
        <v>28.06</v>
      </c>
      <c r="I55">
        <v>12.9</v>
      </c>
      <c r="J55">
        <f t="shared" si="0"/>
        <v>112.24</v>
      </c>
      <c r="K55">
        <f t="shared" si="1"/>
        <v>99.339999999999989</v>
      </c>
      <c r="L55">
        <f t="shared" si="2"/>
        <v>51.6</v>
      </c>
    </row>
    <row r="56" spans="1:12" x14ac:dyDescent="0.2">
      <c r="A56" t="s">
        <v>63</v>
      </c>
      <c r="B56" s="6">
        <v>45697</v>
      </c>
      <c r="C56" t="s">
        <v>512</v>
      </c>
      <c r="D56" t="s">
        <v>514</v>
      </c>
      <c r="E56" t="s">
        <v>520</v>
      </c>
      <c r="F56" t="s">
        <v>531</v>
      </c>
      <c r="G56">
        <v>1</v>
      </c>
      <c r="H56">
        <v>65.150000000000006</v>
      </c>
      <c r="I56">
        <v>38.96</v>
      </c>
      <c r="J56">
        <f t="shared" si="0"/>
        <v>65.150000000000006</v>
      </c>
      <c r="K56">
        <f t="shared" si="1"/>
        <v>26.190000000000005</v>
      </c>
      <c r="L56">
        <f t="shared" si="2"/>
        <v>38.96</v>
      </c>
    </row>
    <row r="57" spans="1:12" x14ac:dyDescent="0.2">
      <c r="A57" t="s">
        <v>64</v>
      </c>
      <c r="B57" s="6">
        <v>45693</v>
      </c>
      <c r="C57" t="s">
        <v>513</v>
      </c>
      <c r="D57" t="s">
        <v>517</v>
      </c>
      <c r="E57" t="s">
        <v>520</v>
      </c>
      <c r="F57" t="s">
        <v>531</v>
      </c>
      <c r="G57">
        <v>6</v>
      </c>
      <c r="H57">
        <v>64.66</v>
      </c>
      <c r="I57">
        <v>38.31</v>
      </c>
      <c r="J57">
        <f t="shared" si="0"/>
        <v>387.96</v>
      </c>
      <c r="K57">
        <f t="shared" si="1"/>
        <v>349.65</v>
      </c>
      <c r="L57">
        <f t="shared" si="2"/>
        <v>229.86</v>
      </c>
    </row>
    <row r="58" spans="1:12" x14ac:dyDescent="0.2">
      <c r="A58" t="s">
        <v>65</v>
      </c>
      <c r="B58" s="6">
        <v>45778</v>
      </c>
      <c r="C58" t="s">
        <v>513</v>
      </c>
      <c r="D58" t="s">
        <v>516</v>
      </c>
      <c r="E58" t="s">
        <v>520</v>
      </c>
      <c r="F58" t="s">
        <v>531</v>
      </c>
      <c r="G58">
        <v>5</v>
      </c>
      <c r="H58">
        <v>55.8</v>
      </c>
      <c r="I58">
        <v>25.31</v>
      </c>
      <c r="J58">
        <f t="shared" si="0"/>
        <v>279</v>
      </c>
      <c r="K58">
        <f t="shared" si="1"/>
        <v>253.69</v>
      </c>
      <c r="L58">
        <f t="shared" si="2"/>
        <v>126.55</v>
      </c>
    </row>
    <row r="59" spans="1:12" x14ac:dyDescent="0.2">
      <c r="A59" t="s">
        <v>66</v>
      </c>
      <c r="B59" s="6">
        <v>45671</v>
      </c>
      <c r="C59" t="s">
        <v>510</v>
      </c>
      <c r="D59" t="s">
        <v>515</v>
      </c>
      <c r="E59" t="s">
        <v>521</v>
      </c>
      <c r="F59" t="s">
        <v>527</v>
      </c>
      <c r="G59">
        <v>6</v>
      </c>
      <c r="H59">
        <v>16.45</v>
      </c>
      <c r="I59">
        <v>10.18</v>
      </c>
      <c r="J59">
        <f t="shared" si="0"/>
        <v>98.699999999999989</v>
      </c>
      <c r="K59">
        <f t="shared" si="1"/>
        <v>88.519999999999982</v>
      </c>
      <c r="L59">
        <f t="shared" si="2"/>
        <v>61.08</v>
      </c>
    </row>
    <row r="60" spans="1:12" x14ac:dyDescent="0.2">
      <c r="A60" t="s">
        <v>67</v>
      </c>
      <c r="B60" s="6">
        <v>45735</v>
      </c>
      <c r="C60" t="s">
        <v>510</v>
      </c>
      <c r="D60" t="s">
        <v>516</v>
      </c>
      <c r="E60" t="s">
        <v>521</v>
      </c>
      <c r="F60" t="s">
        <v>530</v>
      </c>
      <c r="G60">
        <v>7</v>
      </c>
      <c r="H60">
        <v>19.66</v>
      </c>
      <c r="I60">
        <v>13.17</v>
      </c>
      <c r="J60">
        <f t="shared" si="0"/>
        <v>137.62</v>
      </c>
      <c r="K60">
        <f t="shared" si="1"/>
        <v>124.45</v>
      </c>
      <c r="L60">
        <f t="shared" si="2"/>
        <v>92.19</v>
      </c>
    </row>
    <row r="61" spans="1:12" x14ac:dyDescent="0.2">
      <c r="A61" t="s">
        <v>68</v>
      </c>
      <c r="B61" s="6">
        <v>45663</v>
      </c>
      <c r="C61" t="s">
        <v>511</v>
      </c>
      <c r="D61" t="s">
        <v>516</v>
      </c>
      <c r="E61" t="s">
        <v>519</v>
      </c>
      <c r="F61" t="s">
        <v>534</v>
      </c>
      <c r="G61">
        <v>4</v>
      </c>
      <c r="H61">
        <v>24.88</v>
      </c>
      <c r="I61">
        <v>12.67</v>
      </c>
      <c r="J61">
        <f t="shared" si="0"/>
        <v>99.52</v>
      </c>
      <c r="K61">
        <f t="shared" si="1"/>
        <v>86.85</v>
      </c>
      <c r="L61">
        <f t="shared" si="2"/>
        <v>50.68</v>
      </c>
    </row>
    <row r="62" spans="1:12" x14ac:dyDescent="0.2">
      <c r="A62" t="s">
        <v>69</v>
      </c>
      <c r="B62" s="6">
        <v>45737</v>
      </c>
      <c r="C62" t="s">
        <v>509</v>
      </c>
      <c r="D62" t="s">
        <v>516</v>
      </c>
      <c r="E62" t="s">
        <v>518</v>
      </c>
      <c r="F62" t="s">
        <v>533</v>
      </c>
      <c r="G62">
        <v>5</v>
      </c>
      <c r="H62">
        <v>22.6</v>
      </c>
      <c r="I62">
        <v>12.48</v>
      </c>
      <c r="J62">
        <f t="shared" si="0"/>
        <v>113</v>
      </c>
      <c r="K62">
        <f t="shared" si="1"/>
        <v>100.52</v>
      </c>
      <c r="L62">
        <f t="shared" si="2"/>
        <v>62.400000000000006</v>
      </c>
    </row>
    <row r="63" spans="1:12" x14ac:dyDescent="0.2">
      <c r="A63" t="s">
        <v>70</v>
      </c>
      <c r="B63" s="6">
        <v>45709</v>
      </c>
      <c r="C63" t="s">
        <v>509</v>
      </c>
      <c r="D63" t="s">
        <v>514</v>
      </c>
      <c r="E63" t="s">
        <v>520</v>
      </c>
      <c r="F63" t="s">
        <v>531</v>
      </c>
      <c r="G63">
        <v>4</v>
      </c>
      <c r="H63">
        <v>59.07</v>
      </c>
      <c r="I63">
        <v>31.08</v>
      </c>
      <c r="J63">
        <f t="shared" si="0"/>
        <v>236.28</v>
      </c>
      <c r="K63">
        <f t="shared" si="1"/>
        <v>205.2</v>
      </c>
      <c r="L63">
        <f t="shared" si="2"/>
        <v>124.32</v>
      </c>
    </row>
    <row r="64" spans="1:12" x14ac:dyDescent="0.2">
      <c r="A64" t="s">
        <v>71</v>
      </c>
      <c r="B64" s="6">
        <v>45736</v>
      </c>
      <c r="C64" t="s">
        <v>510</v>
      </c>
      <c r="D64" t="s">
        <v>517</v>
      </c>
      <c r="E64" t="s">
        <v>520</v>
      </c>
      <c r="F64" t="s">
        <v>525</v>
      </c>
      <c r="G64">
        <v>7</v>
      </c>
      <c r="H64">
        <v>54.47</v>
      </c>
      <c r="I64">
        <v>30.74</v>
      </c>
      <c r="J64">
        <f t="shared" si="0"/>
        <v>381.28999999999996</v>
      </c>
      <c r="K64">
        <f t="shared" si="1"/>
        <v>350.54999999999995</v>
      </c>
      <c r="L64">
        <f t="shared" si="2"/>
        <v>215.17999999999998</v>
      </c>
    </row>
    <row r="65" spans="1:12" x14ac:dyDescent="0.2">
      <c r="A65" t="s">
        <v>72</v>
      </c>
      <c r="B65" s="6">
        <v>45694</v>
      </c>
      <c r="C65" t="s">
        <v>512</v>
      </c>
      <c r="D65" t="s">
        <v>515</v>
      </c>
      <c r="E65" t="s">
        <v>518</v>
      </c>
      <c r="F65" t="s">
        <v>533</v>
      </c>
      <c r="G65">
        <v>6</v>
      </c>
      <c r="H65">
        <v>19.02</v>
      </c>
      <c r="I65">
        <v>10.26</v>
      </c>
      <c r="J65">
        <f t="shared" si="0"/>
        <v>114.12</v>
      </c>
      <c r="K65">
        <f t="shared" si="1"/>
        <v>103.86</v>
      </c>
      <c r="L65">
        <f t="shared" si="2"/>
        <v>61.56</v>
      </c>
    </row>
    <row r="66" spans="1:12" x14ac:dyDescent="0.2">
      <c r="A66" t="s">
        <v>73</v>
      </c>
      <c r="B66" s="6">
        <v>45723</v>
      </c>
      <c r="C66" t="s">
        <v>511</v>
      </c>
      <c r="D66" t="s">
        <v>514</v>
      </c>
      <c r="E66" t="s">
        <v>520</v>
      </c>
      <c r="F66" t="s">
        <v>525</v>
      </c>
      <c r="G66">
        <v>2</v>
      </c>
      <c r="H66">
        <v>64.06</v>
      </c>
      <c r="I66">
        <v>31.08</v>
      </c>
      <c r="J66">
        <f t="shared" ref="J66:J129" si="3">(G66*H66)</f>
        <v>128.12</v>
      </c>
      <c r="K66">
        <f t="shared" ref="K66:K129" si="4">(J66-I66)</f>
        <v>97.04</v>
      </c>
      <c r="L66">
        <f t="shared" si="2"/>
        <v>62.16</v>
      </c>
    </row>
    <row r="67" spans="1:12" x14ac:dyDescent="0.2">
      <c r="A67" t="s">
        <v>74</v>
      </c>
      <c r="B67" s="6">
        <v>45762</v>
      </c>
      <c r="C67" t="s">
        <v>512</v>
      </c>
      <c r="D67" t="s">
        <v>517</v>
      </c>
      <c r="E67" t="s">
        <v>521</v>
      </c>
      <c r="F67" t="s">
        <v>527</v>
      </c>
      <c r="G67">
        <v>4</v>
      </c>
      <c r="H67">
        <v>24.78</v>
      </c>
      <c r="I67">
        <v>15.91</v>
      </c>
      <c r="J67">
        <f t="shared" si="3"/>
        <v>99.12</v>
      </c>
      <c r="K67">
        <f t="shared" si="4"/>
        <v>83.210000000000008</v>
      </c>
      <c r="L67">
        <f t="shared" ref="L67:L130" si="5">(G67*I67)</f>
        <v>63.64</v>
      </c>
    </row>
    <row r="68" spans="1:12" x14ac:dyDescent="0.2">
      <c r="A68" t="s">
        <v>75</v>
      </c>
      <c r="B68" s="6">
        <v>45663</v>
      </c>
      <c r="C68" t="s">
        <v>512</v>
      </c>
      <c r="D68" t="s">
        <v>515</v>
      </c>
      <c r="E68" t="s">
        <v>519</v>
      </c>
      <c r="F68" t="s">
        <v>535</v>
      </c>
      <c r="G68">
        <v>2</v>
      </c>
      <c r="H68">
        <v>19.64</v>
      </c>
      <c r="I68">
        <v>10.54</v>
      </c>
      <c r="J68">
        <f t="shared" si="3"/>
        <v>39.28</v>
      </c>
      <c r="K68">
        <f t="shared" si="4"/>
        <v>28.740000000000002</v>
      </c>
      <c r="L68">
        <f t="shared" si="5"/>
        <v>21.08</v>
      </c>
    </row>
    <row r="69" spans="1:12" x14ac:dyDescent="0.2">
      <c r="A69" t="s">
        <v>76</v>
      </c>
      <c r="B69" s="6">
        <v>45721</v>
      </c>
      <c r="C69" t="s">
        <v>511</v>
      </c>
      <c r="D69" t="s">
        <v>514</v>
      </c>
      <c r="E69" t="s">
        <v>519</v>
      </c>
      <c r="F69" t="s">
        <v>526</v>
      </c>
      <c r="G69">
        <v>3</v>
      </c>
      <c r="H69">
        <v>25.02</v>
      </c>
      <c r="I69">
        <v>14.93</v>
      </c>
      <c r="J69">
        <f t="shared" si="3"/>
        <v>75.06</v>
      </c>
      <c r="K69">
        <f t="shared" si="4"/>
        <v>60.13</v>
      </c>
      <c r="L69">
        <f t="shared" si="5"/>
        <v>44.79</v>
      </c>
    </row>
    <row r="70" spans="1:12" x14ac:dyDescent="0.2">
      <c r="A70" t="s">
        <v>77</v>
      </c>
      <c r="B70" s="6">
        <v>45757</v>
      </c>
      <c r="C70" t="s">
        <v>511</v>
      </c>
      <c r="D70" t="s">
        <v>514</v>
      </c>
      <c r="E70" t="s">
        <v>518</v>
      </c>
      <c r="F70" t="s">
        <v>522</v>
      </c>
      <c r="G70">
        <v>3</v>
      </c>
      <c r="H70">
        <v>26.81</v>
      </c>
      <c r="I70">
        <v>17.190000000000001</v>
      </c>
      <c r="J70">
        <f t="shared" si="3"/>
        <v>80.429999999999993</v>
      </c>
      <c r="K70">
        <f t="shared" si="4"/>
        <v>63.239999999999995</v>
      </c>
      <c r="L70">
        <f t="shared" si="5"/>
        <v>51.570000000000007</v>
      </c>
    </row>
    <row r="71" spans="1:12" x14ac:dyDescent="0.2">
      <c r="A71" t="s">
        <v>78</v>
      </c>
      <c r="B71" s="6">
        <v>45729</v>
      </c>
      <c r="C71" t="s">
        <v>512</v>
      </c>
      <c r="D71" t="s">
        <v>516</v>
      </c>
      <c r="E71" t="s">
        <v>520</v>
      </c>
      <c r="F71" t="s">
        <v>525</v>
      </c>
      <c r="G71">
        <v>8</v>
      </c>
      <c r="H71">
        <v>56.77</v>
      </c>
      <c r="I71">
        <v>24.98</v>
      </c>
      <c r="J71">
        <f t="shared" si="3"/>
        <v>454.16</v>
      </c>
      <c r="K71">
        <f t="shared" si="4"/>
        <v>429.18</v>
      </c>
      <c r="L71">
        <f t="shared" si="5"/>
        <v>199.84</v>
      </c>
    </row>
    <row r="72" spans="1:12" x14ac:dyDescent="0.2">
      <c r="A72" t="s">
        <v>79</v>
      </c>
      <c r="B72" s="6">
        <v>45754</v>
      </c>
      <c r="C72" t="s">
        <v>511</v>
      </c>
      <c r="D72" t="s">
        <v>515</v>
      </c>
      <c r="E72" t="s">
        <v>520</v>
      </c>
      <c r="F72" t="s">
        <v>531</v>
      </c>
      <c r="G72">
        <v>8</v>
      </c>
      <c r="H72">
        <v>61.81</v>
      </c>
      <c r="I72">
        <v>41.36</v>
      </c>
      <c r="J72">
        <f t="shared" si="3"/>
        <v>494.48</v>
      </c>
      <c r="K72">
        <f t="shared" si="4"/>
        <v>453.12</v>
      </c>
      <c r="L72">
        <f t="shared" si="5"/>
        <v>330.88</v>
      </c>
    </row>
    <row r="73" spans="1:12" x14ac:dyDescent="0.2">
      <c r="A73" t="s">
        <v>80</v>
      </c>
      <c r="B73" s="6">
        <v>45691</v>
      </c>
      <c r="C73" t="s">
        <v>512</v>
      </c>
      <c r="D73" t="s">
        <v>517</v>
      </c>
      <c r="E73" t="s">
        <v>520</v>
      </c>
      <c r="F73" t="s">
        <v>531</v>
      </c>
      <c r="G73">
        <v>8</v>
      </c>
      <c r="H73">
        <v>67.69</v>
      </c>
      <c r="I73">
        <v>39.799999999999997</v>
      </c>
      <c r="J73">
        <f t="shared" si="3"/>
        <v>541.52</v>
      </c>
      <c r="K73">
        <f t="shared" si="4"/>
        <v>501.71999999999997</v>
      </c>
      <c r="L73">
        <f t="shared" si="5"/>
        <v>318.39999999999998</v>
      </c>
    </row>
    <row r="74" spans="1:12" x14ac:dyDescent="0.2">
      <c r="A74" t="s">
        <v>81</v>
      </c>
      <c r="B74" s="6">
        <v>45667</v>
      </c>
      <c r="C74" t="s">
        <v>509</v>
      </c>
      <c r="D74" t="s">
        <v>514</v>
      </c>
      <c r="E74" t="s">
        <v>521</v>
      </c>
      <c r="F74" t="s">
        <v>530</v>
      </c>
      <c r="G74">
        <v>5</v>
      </c>
      <c r="H74">
        <v>17.82</v>
      </c>
      <c r="I74">
        <v>8.92</v>
      </c>
      <c r="J74">
        <f t="shared" si="3"/>
        <v>89.1</v>
      </c>
      <c r="K74">
        <f t="shared" si="4"/>
        <v>80.179999999999993</v>
      </c>
      <c r="L74">
        <f t="shared" si="5"/>
        <v>44.6</v>
      </c>
    </row>
    <row r="75" spans="1:12" x14ac:dyDescent="0.2">
      <c r="A75" t="s">
        <v>82</v>
      </c>
      <c r="B75" s="6">
        <v>45677</v>
      </c>
      <c r="C75" t="s">
        <v>512</v>
      </c>
      <c r="D75" t="s">
        <v>515</v>
      </c>
      <c r="E75" t="s">
        <v>518</v>
      </c>
      <c r="F75" t="s">
        <v>536</v>
      </c>
      <c r="G75">
        <v>3</v>
      </c>
      <c r="H75">
        <v>32.82</v>
      </c>
      <c r="I75">
        <v>20.079999999999998</v>
      </c>
      <c r="J75">
        <f t="shared" si="3"/>
        <v>98.460000000000008</v>
      </c>
      <c r="K75">
        <f t="shared" si="4"/>
        <v>78.38000000000001</v>
      </c>
      <c r="L75">
        <f t="shared" si="5"/>
        <v>60.239999999999995</v>
      </c>
    </row>
    <row r="76" spans="1:12" x14ac:dyDescent="0.2">
      <c r="A76" t="s">
        <v>83</v>
      </c>
      <c r="B76" s="6">
        <v>45710</v>
      </c>
      <c r="C76" t="s">
        <v>509</v>
      </c>
      <c r="D76" t="s">
        <v>515</v>
      </c>
      <c r="E76" t="s">
        <v>518</v>
      </c>
      <c r="F76" t="s">
        <v>537</v>
      </c>
      <c r="G76">
        <v>7</v>
      </c>
      <c r="H76">
        <v>11.9</v>
      </c>
      <c r="I76">
        <v>4.9800000000000004</v>
      </c>
      <c r="J76">
        <f t="shared" si="3"/>
        <v>83.3</v>
      </c>
      <c r="K76">
        <f t="shared" si="4"/>
        <v>78.319999999999993</v>
      </c>
      <c r="L76">
        <f t="shared" si="5"/>
        <v>34.86</v>
      </c>
    </row>
    <row r="77" spans="1:12" x14ac:dyDescent="0.2">
      <c r="A77" t="s">
        <v>84</v>
      </c>
      <c r="B77" s="6">
        <v>45773</v>
      </c>
      <c r="C77" t="s">
        <v>510</v>
      </c>
      <c r="D77" t="s">
        <v>516</v>
      </c>
      <c r="E77" t="s">
        <v>520</v>
      </c>
      <c r="F77" t="s">
        <v>531</v>
      </c>
      <c r="G77">
        <v>7</v>
      </c>
      <c r="H77">
        <v>64.11</v>
      </c>
      <c r="I77">
        <v>34.82</v>
      </c>
      <c r="J77">
        <f t="shared" si="3"/>
        <v>448.77</v>
      </c>
      <c r="K77">
        <f t="shared" si="4"/>
        <v>413.95</v>
      </c>
      <c r="L77">
        <f t="shared" si="5"/>
        <v>243.74</v>
      </c>
    </row>
    <row r="78" spans="1:12" x14ac:dyDescent="0.2">
      <c r="A78" t="s">
        <v>85</v>
      </c>
      <c r="B78" s="6">
        <v>45754</v>
      </c>
      <c r="C78" t="s">
        <v>511</v>
      </c>
      <c r="D78" t="s">
        <v>515</v>
      </c>
      <c r="E78" t="s">
        <v>521</v>
      </c>
      <c r="F78" t="s">
        <v>528</v>
      </c>
      <c r="G78">
        <v>4</v>
      </c>
      <c r="H78">
        <v>18.440000000000001</v>
      </c>
      <c r="I78">
        <v>10.08</v>
      </c>
      <c r="J78">
        <f t="shared" si="3"/>
        <v>73.760000000000005</v>
      </c>
      <c r="K78">
        <f t="shared" si="4"/>
        <v>63.680000000000007</v>
      </c>
      <c r="L78">
        <f t="shared" si="5"/>
        <v>40.32</v>
      </c>
    </row>
    <row r="79" spans="1:12" x14ac:dyDescent="0.2">
      <c r="A79" t="s">
        <v>86</v>
      </c>
      <c r="B79" s="6">
        <v>45720</v>
      </c>
      <c r="C79" t="s">
        <v>513</v>
      </c>
      <c r="D79" t="s">
        <v>515</v>
      </c>
      <c r="E79" t="s">
        <v>521</v>
      </c>
      <c r="F79" t="s">
        <v>530</v>
      </c>
      <c r="G79">
        <v>6</v>
      </c>
      <c r="H79">
        <v>16.5</v>
      </c>
      <c r="I79">
        <v>9.91</v>
      </c>
      <c r="J79">
        <f t="shared" si="3"/>
        <v>99</v>
      </c>
      <c r="K79">
        <f t="shared" si="4"/>
        <v>89.09</v>
      </c>
      <c r="L79">
        <f t="shared" si="5"/>
        <v>59.46</v>
      </c>
    </row>
    <row r="80" spans="1:12" x14ac:dyDescent="0.2">
      <c r="A80" t="s">
        <v>87</v>
      </c>
      <c r="B80" s="6">
        <v>45765</v>
      </c>
      <c r="C80" t="s">
        <v>511</v>
      </c>
      <c r="D80" t="s">
        <v>514</v>
      </c>
      <c r="E80" t="s">
        <v>520</v>
      </c>
      <c r="F80" t="s">
        <v>525</v>
      </c>
      <c r="G80">
        <v>1</v>
      </c>
      <c r="H80">
        <v>60.46</v>
      </c>
      <c r="I80">
        <v>40.630000000000003</v>
      </c>
      <c r="J80">
        <f t="shared" si="3"/>
        <v>60.46</v>
      </c>
      <c r="K80">
        <f t="shared" si="4"/>
        <v>19.829999999999998</v>
      </c>
      <c r="L80">
        <f t="shared" si="5"/>
        <v>40.630000000000003</v>
      </c>
    </row>
    <row r="81" spans="1:12" x14ac:dyDescent="0.2">
      <c r="A81" t="s">
        <v>88</v>
      </c>
      <c r="B81" s="6">
        <v>45740</v>
      </c>
      <c r="C81" t="s">
        <v>511</v>
      </c>
      <c r="D81" t="s">
        <v>514</v>
      </c>
      <c r="E81" t="s">
        <v>518</v>
      </c>
      <c r="F81" t="s">
        <v>522</v>
      </c>
      <c r="G81">
        <v>8</v>
      </c>
      <c r="H81">
        <v>15.06</v>
      </c>
      <c r="I81">
        <v>6.85</v>
      </c>
      <c r="J81">
        <f t="shared" si="3"/>
        <v>120.48</v>
      </c>
      <c r="K81">
        <f t="shared" si="4"/>
        <v>113.63000000000001</v>
      </c>
      <c r="L81">
        <f t="shared" si="5"/>
        <v>54.8</v>
      </c>
    </row>
    <row r="82" spans="1:12" x14ac:dyDescent="0.2">
      <c r="A82" t="s">
        <v>89</v>
      </c>
      <c r="B82" s="6">
        <v>45699</v>
      </c>
      <c r="C82" t="s">
        <v>512</v>
      </c>
      <c r="D82" t="s">
        <v>515</v>
      </c>
      <c r="E82" t="s">
        <v>521</v>
      </c>
      <c r="F82" t="s">
        <v>530</v>
      </c>
      <c r="G82">
        <v>6</v>
      </c>
      <c r="H82">
        <v>16.899999999999999</v>
      </c>
      <c r="I82">
        <v>8.4700000000000006</v>
      </c>
      <c r="J82">
        <f t="shared" si="3"/>
        <v>101.39999999999999</v>
      </c>
      <c r="K82">
        <f t="shared" si="4"/>
        <v>92.929999999999993</v>
      </c>
      <c r="L82">
        <f t="shared" si="5"/>
        <v>50.820000000000007</v>
      </c>
    </row>
    <row r="83" spans="1:12" x14ac:dyDescent="0.2">
      <c r="A83" t="s">
        <v>90</v>
      </c>
      <c r="B83" s="6">
        <v>45754</v>
      </c>
      <c r="C83" t="s">
        <v>511</v>
      </c>
      <c r="D83" t="s">
        <v>517</v>
      </c>
      <c r="E83" t="s">
        <v>520</v>
      </c>
      <c r="F83" t="s">
        <v>531</v>
      </c>
      <c r="G83">
        <v>2</v>
      </c>
      <c r="H83">
        <v>61.79</v>
      </c>
      <c r="I83">
        <v>33.43</v>
      </c>
      <c r="J83">
        <f t="shared" si="3"/>
        <v>123.58</v>
      </c>
      <c r="K83">
        <f t="shared" si="4"/>
        <v>90.15</v>
      </c>
      <c r="L83">
        <f t="shared" si="5"/>
        <v>66.86</v>
      </c>
    </row>
    <row r="84" spans="1:12" x14ac:dyDescent="0.2">
      <c r="A84" t="s">
        <v>91</v>
      </c>
      <c r="B84" s="6">
        <v>45686</v>
      </c>
      <c r="C84" t="s">
        <v>513</v>
      </c>
      <c r="D84" t="s">
        <v>516</v>
      </c>
      <c r="E84" t="s">
        <v>518</v>
      </c>
      <c r="F84" t="s">
        <v>533</v>
      </c>
      <c r="G84">
        <v>1</v>
      </c>
      <c r="H84">
        <v>32.39</v>
      </c>
      <c r="I84">
        <v>22.18</v>
      </c>
      <c r="J84">
        <f t="shared" si="3"/>
        <v>32.39</v>
      </c>
      <c r="K84">
        <f t="shared" si="4"/>
        <v>10.210000000000001</v>
      </c>
      <c r="L84">
        <f t="shared" si="5"/>
        <v>22.18</v>
      </c>
    </row>
    <row r="85" spans="1:12" x14ac:dyDescent="0.2">
      <c r="A85" t="s">
        <v>92</v>
      </c>
      <c r="B85" s="6">
        <v>45737</v>
      </c>
      <c r="C85" t="s">
        <v>512</v>
      </c>
      <c r="D85" t="s">
        <v>514</v>
      </c>
      <c r="E85" t="s">
        <v>519</v>
      </c>
      <c r="F85" t="s">
        <v>535</v>
      </c>
      <c r="G85">
        <v>3</v>
      </c>
      <c r="H85">
        <v>17.41</v>
      </c>
      <c r="I85">
        <v>9.44</v>
      </c>
      <c r="J85">
        <f t="shared" si="3"/>
        <v>52.230000000000004</v>
      </c>
      <c r="K85">
        <f t="shared" si="4"/>
        <v>42.790000000000006</v>
      </c>
      <c r="L85">
        <f t="shared" si="5"/>
        <v>28.32</v>
      </c>
    </row>
    <row r="86" spans="1:12" x14ac:dyDescent="0.2">
      <c r="A86" t="s">
        <v>93</v>
      </c>
      <c r="B86" s="6">
        <v>45685</v>
      </c>
      <c r="C86" t="s">
        <v>511</v>
      </c>
      <c r="D86" t="s">
        <v>517</v>
      </c>
      <c r="E86" t="s">
        <v>518</v>
      </c>
      <c r="F86" t="s">
        <v>523</v>
      </c>
      <c r="G86">
        <v>6</v>
      </c>
      <c r="H86">
        <v>20.96</v>
      </c>
      <c r="I86">
        <v>9.44</v>
      </c>
      <c r="J86">
        <f t="shared" si="3"/>
        <v>125.76</v>
      </c>
      <c r="K86">
        <f t="shared" si="4"/>
        <v>116.32000000000001</v>
      </c>
      <c r="L86">
        <f t="shared" si="5"/>
        <v>56.64</v>
      </c>
    </row>
    <row r="87" spans="1:12" x14ac:dyDescent="0.2">
      <c r="A87" t="s">
        <v>94</v>
      </c>
      <c r="B87" s="6">
        <v>45697</v>
      </c>
      <c r="C87" t="s">
        <v>513</v>
      </c>
      <c r="D87" t="s">
        <v>516</v>
      </c>
      <c r="E87" t="s">
        <v>518</v>
      </c>
      <c r="F87" t="s">
        <v>536</v>
      </c>
      <c r="G87">
        <v>5</v>
      </c>
      <c r="H87">
        <v>22.49</v>
      </c>
      <c r="I87">
        <v>12.88</v>
      </c>
      <c r="J87">
        <f t="shared" si="3"/>
        <v>112.44999999999999</v>
      </c>
      <c r="K87">
        <f t="shared" si="4"/>
        <v>99.57</v>
      </c>
      <c r="L87">
        <f t="shared" si="5"/>
        <v>64.400000000000006</v>
      </c>
    </row>
    <row r="88" spans="1:12" x14ac:dyDescent="0.2">
      <c r="A88" t="s">
        <v>95</v>
      </c>
      <c r="B88" s="6">
        <v>45778</v>
      </c>
      <c r="C88" t="s">
        <v>512</v>
      </c>
      <c r="D88" t="s">
        <v>516</v>
      </c>
      <c r="E88" t="s">
        <v>520</v>
      </c>
      <c r="F88" t="s">
        <v>531</v>
      </c>
      <c r="G88">
        <v>4</v>
      </c>
      <c r="H88">
        <v>64.58</v>
      </c>
      <c r="I88">
        <v>27.81</v>
      </c>
      <c r="J88">
        <f t="shared" si="3"/>
        <v>258.32</v>
      </c>
      <c r="K88">
        <f t="shared" si="4"/>
        <v>230.51</v>
      </c>
      <c r="L88">
        <f t="shared" si="5"/>
        <v>111.24</v>
      </c>
    </row>
    <row r="89" spans="1:12" x14ac:dyDescent="0.2">
      <c r="A89" t="s">
        <v>96</v>
      </c>
      <c r="B89" s="6">
        <v>45759</v>
      </c>
      <c r="C89" t="s">
        <v>510</v>
      </c>
      <c r="D89" t="s">
        <v>516</v>
      </c>
      <c r="E89" t="s">
        <v>521</v>
      </c>
      <c r="F89" t="s">
        <v>527</v>
      </c>
      <c r="G89">
        <v>6</v>
      </c>
      <c r="H89">
        <v>19.64</v>
      </c>
      <c r="I89">
        <v>10.99</v>
      </c>
      <c r="J89">
        <f t="shared" si="3"/>
        <v>117.84</v>
      </c>
      <c r="K89">
        <f t="shared" si="4"/>
        <v>106.85000000000001</v>
      </c>
      <c r="L89">
        <f t="shared" si="5"/>
        <v>65.94</v>
      </c>
    </row>
    <row r="90" spans="1:12" x14ac:dyDescent="0.2">
      <c r="A90" t="s">
        <v>97</v>
      </c>
      <c r="B90" s="6">
        <v>45722</v>
      </c>
      <c r="C90" t="s">
        <v>509</v>
      </c>
      <c r="D90" t="s">
        <v>516</v>
      </c>
      <c r="E90" t="s">
        <v>521</v>
      </c>
      <c r="F90" t="s">
        <v>527</v>
      </c>
      <c r="G90">
        <v>7</v>
      </c>
      <c r="H90">
        <v>15.35</v>
      </c>
      <c r="I90">
        <v>9.93</v>
      </c>
      <c r="J90">
        <f t="shared" si="3"/>
        <v>107.45</v>
      </c>
      <c r="K90">
        <f t="shared" si="4"/>
        <v>97.52000000000001</v>
      </c>
      <c r="L90">
        <f t="shared" si="5"/>
        <v>69.509999999999991</v>
      </c>
    </row>
    <row r="91" spans="1:12" x14ac:dyDescent="0.2">
      <c r="A91" t="s">
        <v>98</v>
      </c>
      <c r="B91" s="6">
        <v>45704</v>
      </c>
      <c r="C91" t="s">
        <v>511</v>
      </c>
      <c r="D91" t="s">
        <v>514</v>
      </c>
      <c r="E91" t="s">
        <v>518</v>
      </c>
      <c r="F91" t="s">
        <v>537</v>
      </c>
      <c r="G91">
        <v>7</v>
      </c>
      <c r="H91">
        <v>27.57</v>
      </c>
      <c r="I91">
        <v>12.48</v>
      </c>
      <c r="J91">
        <f t="shared" si="3"/>
        <v>192.99</v>
      </c>
      <c r="K91">
        <f t="shared" si="4"/>
        <v>180.51000000000002</v>
      </c>
      <c r="L91">
        <f t="shared" si="5"/>
        <v>87.36</v>
      </c>
    </row>
    <row r="92" spans="1:12" x14ac:dyDescent="0.2">
      <c r="A92" t="s">
        <v>99</v>
      </c>
      <c r="B92" s="6">
        <v>45717</v>
      </c>
      <c r="C92" t="s">
        <v>511</v>
      </c>
      <c r="D92" t="s">
        <v>517</v>
      </c>
      <c r="E92" t="s">
        <v>521</v>
      </c>
      <c r="F92" t="s">
        <v>530</v>
      </c>
      <c r="G92">
        <v>6</v>
      </c>
      <c r="H92">
        <v>18.489999999999998</v>
      </c>
      <c r="I92">
        <v>12.12</v>
      </c>
      <c r="J92">
        <f t="shared" si="3"/>
        <v>110.94</v>
      </c>
      <c r="K92">
        <f t="shared" si="4"/>
        <v>98.82</v>
      </c>
      <c r="L92">
        <f t="shared" si="5"/>
        <v>72.72</v>
      </c>
    </row>
    <row r="93" spans="1:12" x14ac:dyDescent="0.2">
      <c r="A93" t="s">
        <v>100</v>
      </c>
      <c r="B93" s="6">
        <v>45770</v>
      </c>
      <c r="C93" t="s">
        <v>511</v>
      </c>
      <c r="D93" t="s">
        <v>514</v>
      </c>
      <c r="E93" t="s">
        <v>518</v>
      </c>
      <c r="F93" t="s">
        <v>533</v>
      </c>
      <c r="G93">
        <v>8</v>
      </c>
      <c r="H93">
        <v>29.84</v>
      </c>
      <c r="I93">
        <v>17.04</v>
      </c>
      <c r="J93">
        <f t="shared" si="3"/>
        <v>238.72</v>
      </c>
      <c r="K93">
        <f t="shared" si="4"/>
        <v>221.68</v>
      </c>
      <c r="L93">
        <f t="shared" si="5"/>
        <v>136.32</v>
      </c>
    </row>
    <row r="94" spans="1:12" x14ac:dyDescent="0.2">
      <c r="A94" t="s">
        <v>101</v>
      </c>
      <c r="B94" s="6">
        <v>45661</v>
      </c>
      <c r="C94" t="s">
        <v>511</v>
      </c>
      <c r="D94" t="s">
        <v>517</v>
      </c>
      <c r="E94" t="s">
        <v>520</v>
      </c>
      <c r="F94" t="s">
        <v>531</v>
      </c>
      <c r="G94">
        <v>3</v>
      </c>
      <c r="H94">
        <v>56.49</v>
      </c>
      <c r="I94">
        <v>30.86</v>
      </c>
      <c r="J94">
        <f t="shared" si="3"/>
        <v>169.47</v>
      </c>
      <c r="K94">
        <f t="shared" si="4"/>
        <v>138.61000000000001</v>
      </c>
      <c r="L94">
        <f t="shared" si="5"/>
        <v>92.58</v>
      </c>
    </row>
    <row r="95" spans="1:12" x14ac:dyDescent="0.2">
      <c r="A95" t="s">
        <v>102</v>
      </c>
      <c r="B95" s="6">
        <v>45701</v>
      </c>
      <c r="C95" t="s">
        <v>509</v>
      </c>
      <c r="D95" t="s">
        <v>517</v>
      </c>
      <c r="E95" t="s">
        <v>521</v>
      </c>
      <c r="F95" t="s">
        <v>528</v>
      </c>
      <c r="G95">
        <v>1</v>
      </c>
      <c r="H95">
        <v>16.36</v>
      </c>
      <c r="I95">
        <v>9.08</v>
      </c>
      <c r="J95">
        <f t="shared" si="3"/>
        <v>16.36</v>
      </c>
      <c r="K95">
        <f t="shared" si="4"/>
        <v>7.2799999999999994</v>
      </c>
      <c r="L95">
        <f t="shared" si="5"/>
        <v>9.08</v>
      </c>
    </row>
    <row r="96" spans="1:12" x14ac:dyDescent="0.2">
      <c r="A96" t="s">
        <v>103</v>
      </c>
      <c r="B96" s="6">
        <v>45688</v>
      </c>
      <c r="C96" t="s">
        <v>511</v>
      </c>
      <c r="D96" t="s">
        <v>515</v>
      </c>
      <c r="E96" t="s">
        <v>519</v>
      </c>
      <c r="F96" t="s">
        <v>535</v>
      </c>
      <c r="G96">
        <v>4</v>
      </c>
      <c r="H96">
        <v>18.04</v>
      </c>
      <c r="I96">
        <v>10.95</v>
      </c>
      <c r="J96">
        <f t="shared" si="3"/>
        <v>72.16</v>
      </c>
      <c r="K96">
        <f t="shared" si="4"/>
        <v>61.209999999999994</v>
      </c>
      <c r="L96">
        <f t="shared" si="5"/>
        <v>43.8</v>
      </c>
    </row>
    <row r="97" spans="1:12" x14ac:dyDescent="0.2">
      <c r="A97" t="s">
        <v>104</v>
      </c>
      <c r="B97" s="6">
        <v>45759</v>
      </c>
      <c r="C97" t="s">
        <v>513</v>
      </c>
      <c r="D97" t="s">
        <v>516</v>
      </c>
      <c r="E97" t="s">
        <v>520</v>
      </c>
      <c r="F97" t="s">
        <v>531</v>
      </c>
      <c r="G97">
        <v>5</v>
      </c>
      <c r="H97">
        <v>52.68</v>
      </c>
      <c r="I97">
        <v>24.57</v>
      </c>
      <c r="J97">
        <f t="shared" si="3"/>
        <v>263.39999999999998</v>
      </c>
      <c r="K97">
        <f t="shared" si="4"/>
        <v>238.82999999999998</v>
      </c>
      <c r="L97">
        <f t="shared" si="5"/>
        <v>122.85</v>
      </c>
    </row>
    <row r="98" spans="1:12" x14ac:dyDescent="0.2">
      <c r="A98" t="s">
        <v>105</v>
      </c>
      <c r="B98" s="6">
        <v>45742</v>
      </c>
      <c r="C98" t="s">
        <v>510</v>
      </c>
      <c r="D98" t="s">
        <v>517</v>
      </c>
      <c r="E98" t="s">
        <v>519</v>
      </c>
      <c r="F98" t="s">
        <v>534</v>
      </c>
      <c r="G98">
        <v>8</v>
      </c>
      <c r="H98">
        <v>21.48</v>
      </c>
      <c r="I98">
        <v>12.16</v>
      </c>
      <c r="J98">
        <f t="shared" si="3"/>
        <v>171.84</v>
      </c>
      <c r="K98">
        <f t="shared" si="4"/>
        <v>159.68</v>
      </c>
      <c r="L98">
        <f t="shared" si="5"/>
        <v>97.28</v>
      </c>
    </row>
    <row r="99" spans="1:12" x14ac:dyDescent="0.2">
      <c r="A99" t="s">
        <v>106</v>
      </c>
      <c r="B99" s="6">
        <v>45753</v>
      </c>
      <c r="C99" t="s">
        <v>510</v>
      </c>
      <c r="D99" t="s">
        <v>517</v>
      </c>
      <c r="E99" t="s">
        <v>521</v>
      </c>
      <c r="F99" t="s">
        <v>530</v>
      </c>
      <c r="G99">
        <v>6</v>
      </c>
      <c r="H99">
        <v>19.309999999999999</v>
      </c>
      <c r="I99">
        <v>11.8</v>
      </c>
      <c r="J99">
        <f t="shared" si="3"/>
        <v>115.85999999999999</v>
      </c>
      <c r="K99">
        <f t="shared" si="4"/>
        <v>104.05999999999999</v>
      </c>
      <c r="L99">
        <f t="shared" si="5"/>
        <v>70.800000000000011</v>
      </c>
    </row>
    <row r="100" spans="1:12" x14ac:dyDescent="0.2">
      <c r="A100" t="s">
        <v>107</v>
      </c>
      <c r="B100" s="6">
        <v>45690</v>
      </c>
      <c r="C100" t="s">
        <v>512</v>
      </c>
      <c r="D100" t="s">
        <v>516</v>
      </c>
      <c r="E100" t="s">
        <v>521</v>
      </c>
      <c r="F100" t="s">
        <v>528</v>
      </c>
      <c r="G100">
        <v>4</v>
      </c>
      <c r="H100">
        <v>18.03</v>
      </c>
      <c r="I100">
        <v>8.92</v>
      </c>
      <c r="J100">
        <f t="shared" si="3"/>
        <v>72.12</v>
      </c>
      <c r="K100">
        <f t="shared" si="4"/>
        <v>63.2</v>
      </c>
      <c r="L100">
        <f t="shared" si="5"/>
        <v>35.68</v>
      </c>
    </row>
    <row r="101" spans="1:12" x14ac:dyDescent="0.2">
      <c r="A101" t="s">
        <v>108</v>
      </c>
      <c r="B101" s="6">
        <v>45685</v>
      </c>
      <c r="C101" t="s">
        <v>511</v>
      </c>
      <c r="D101" t="s">
        <v>517</v>
      </c>
      <c r="E101" t="s">
        <v>519</v>
      </c>
      <c r="F101" t="s">
        <v>524</v>
      </c>
      <c r="G101">
        <v>5</v>
      </c>
      <c r="H101">
        <v>18.829999999999998</v>
      </c>
      <c r="I101">
        <v>13.07</v>
      </c>
      <c r="J101">
        <f t="shared" si="3"/>
        <v>94.149999999999991</v>
      </c>
      <c r="K101">
        <f t="shared" si="4"/>
        <v>81.079999999999984</v>
      </c>
      <c r="L101">
        <f t="shared" si="5"/>
        <v>65.349999999999994</v>
      </c>
    </row>
    <row r="102" spans="1:12" x14ac:dyDescent="0.2">
      <c r="A102" t="s">
        <v>109</v>
      </c>
      <c r="B102" s="6">
        <v>45687</v>
      </c>
      <c r="C102" t="s">
        <v>509</v>
      </c>
      <c r="D102" t="s">
        <v>514</v>
      </c>
      <c r="E102" t="s">
        <v>519</v>
      </c>
      <c r="F102" t="s">
        <v>534</v>
      </c>
      <c r="G102">
        <v>5</v>
      </c>
      <c r="H102">
        <v>12.92</v>
      </c>
      <c r="I102">
        <v>5.22</v>
      </c>
      <c r="J102">
        <f t="shared" si="3"/>
        <v>64.599999999999994</v>
      </c>
      <c r="K102">
        <f t="shared" si="4"/>
        <v>59.379999999999995</v>
      </c>
      <c r="L102">
        <f t="shared" si="5"/>
        <v>26.099999999999998</v>
      </c>
    </row>
    <row r="103" spans="1:12" x14ac:dyDescent="0.2">
      <c r="A103" t="s">
        <v>110</v>
      </c>
      <c r="B103" s="6">
        <v>45663</v>
      </c>
      <c r="C103" t="s">
        <v>513</v>
      </c>
      <c r="D103" t="s">
        <v>517</v>
      </c>
      <c r="E103" t="s">
        <v>519</v>
      </c>
      <c r="F103" t="s">
        <v>534</v>
      </c>
      <c r="G103">
        <v>3</v>
      </c>
      <c r="H103">
        <v>17.899999999999999</v>
      </c>
      <c r="I103">
        <v>10.59</v>
      </c>
      <c r="J103">
        <f t="shared" si="3"/>
        <v>53.699999999999996</v>
      </c>
      <c r="K103">
        <f t="shared" si="4"/>
        <v>43.11</v>
      </c>
      <c r="L103">
        <f t="shared" si="5"/>
        <v>31.77</v>
      </c>
    </row>
    <row r="104" spans="1:12" x14ac:dyDescent="0.2">
      <c r="A104" t="s">
        <v>111</v>
      </c>
      <c r="B104" s="6">
        <v>45769</v>
      </c>
      <c r="C104" t="s">
        <v>513</v>
      </c>
      <c r="D104" t="s">
        <v>517</v>
      </c>
      <c r="E104" t="s">
        <v>520</v>
      </c>
      <c r="F104" t="s">
        <v>525</v>
      </c>
      <c r="G104">
        <v>8</v>
      </c>
      <c r="H104">
        <v>58.29</v>
      </c>
      <c r="I104">
        <v>31.69</v>
      </c>
      <c r="J104">
        <f t="shared" si="3"/>
        <v>466.32</v>
      </c>
      <c r="K104">
        <f t="shared" si="4"/>
        <v>434.63</v>
      </c>
      <c r="L104">
        <f t="shared" si="5"/>
        <v>253.52</v>
      </c>
    </row>
    <row r="105" spans="1:12" x14ac:dyDescent="0.2">
      <c r="A105" t="s">
        <v>112</v>
      </c>
      <c r="B105" s="6">
        <v>45664</v>
      </c>
      <c r="C105" t="s">
        <v>509</v>
      </c>
      <c r="D105" t="s">
        <v>515</v>
      </c>
      <c r="E105" t="s">
        <v>521</v>
      </c>
      <c r="F105" t="s">
        <v>529</v>
      </c>
      <c r="G105">
        <v>2</v>
      </c>
      <c r="H105">
        <v>13.99</v>
      </c>
      <c r="I105">
        <v>9.0500000000000007</v>
      </c>
      <c r="J105">
        <f t="shared" si="3"/>
        <v>27.98</v>
      </c>
      <c r="K105">
        <f t="shared" si="4"/>
        <v>18.93</v>
      </c>
      <c r="L105">
        <f t="shared" si="5"/>
        <v>18.100000000000001</v>
      </c>
    </row>
    <row r="106" spans="1:12" x14ac:dyDescent="0.2">
      <c r="A106" t="s">
        <v>113</v>
      </c>
      <c r="B106" s="6">
        <v>45667</v>
      </c>
      <c r="C106" t="s">
        <v>510</v>
      </c>
      <c r="D106" t="s">
        <v>516</v>
      </c>
      <c r="E106" t="s">
        <v>520</v>
      </c>
      <c r="F106" t="s">
        <v>531</v>
      </c>
      <c r="G106">
        <v>3</v>
      </c>
      <c r="H106">
        <v>59.19</v>
      </c>
      <c r="I106">
        <v>26.33</v>
      </c>
      <c r="J106">
        <f t="shared" si="3"/>
        <v>177.57</v>
      </c>
      <c r="K106">
        <f t="shared" si="4"/>
        <v>151.24</v>
      </c>
      <c r="L106">
        <f t="shared" si="5"/>
        <v>78.989999999999995</v>
      </c>
    </row>
    <row r="107" spans="1:12" x14ac:dyDescent="0.2">
      <c r="A107" t="s">
        <v>114</v>
      </c>
      <c r="B107" s="6">
        <v>45689</v>
      </c>
      <c r="C107" t="s">
        <v>513</v>
      </c>
      <c r="D107" t="s">
        <v>515</v>
      </c>
      <c r="E107" t="s">
        <v>521</v>
      </c>
      <c r="F107" t="s">
        <v>527</v>
      </c>
      <c r="G107">
        <v>4</v>
      </c>
      <c r="H107">
        <v>20.02</v>
      </c>
      <c r="I107">
        <v>12.67</v>
      </c>
      <c r="J107">
        <f t="shared" si="3"/>
        <v>80.08</v>
      </c>
      <c r="K107">
        <f t="shared" si="4"/>
        <v>67.41</v>
      </c>
      <c r="L107">
        <f t="shared" si="5"/>
        <v>50.68</v>
      </c>
    </row>
    <row r="108" spans="1:12" x14ac:dyDescent="0.2">
      <c r="A108" t="s">
        <v>115</v>
      </c>
      <c r="B108" s="6">
        <v>45774</v>
      </c>
      <c r="C108" t="s">
        <v>511</v>
      </c>
      <c r="D108" t="s">
        <v>517</v>
      </c>
      <c r="E108" t="s">
        <v>520</v>
      </c>
      <c r="F108" t="s">
        <v>531</v>
      </c>
      <c r="G108">
        <v>7</v>
      </c>
      <c r="H108">
        <v>69.430000000000007</v>
      </c>
      <c r="I108">
        <v>34.130000000000003</v>
      </c>
      <c r="J108">
        <f t="shared" si="3"/>
        <v>486.01000000000005</v>
      </c>
      <c r="K108">
        <f t="shared" si="4"/>
        <v>451.88000000000005</v>
      </c>
      <c r="L108">
        <f t="shared" si="5"/>
        <v>238.91000000000003</v>
      </c>
    </row>
    <row r="109" spans="1:12" x14ac:dyDescent="0.2">
      <c r="A109" t="s">
        <v>116</v>
      </c>
      <c r="B109" s="6">
        <v>45752</v>
      </c>
      <c r="C109" t="s">
        <v>513</v>
      </c>
      <c r="D109" t="s">
        <v>514</v>
      </c>
      <c r="E109" t="s">
        <v>518</v>
      </c>
      <c r="F109" t="s">
        <v>523</v>
      </c>
      <c r="G109">
        <v>4</v>
      </c>
      <c r="H109">
        <v>25.87</v>
      </c>
      <c r="I109">
        <v>12.4</v>
      </c>
      <c r="J109">
        <f t="shared" si="3"/>
        <v>103.48</v>
      </c>
      <c r="K109">
        <f t="shared" si="4"/>
        <v>91.08</v>
      </c>
      <c r="L109">
        <f t="shared" si="5"/>
        <v>49.6</v>
      </c>
    </row>
    <row r="110" spans="1:12" x14ac:dyDescent="0.2">
      <c r="A110" t="s">
        <v>117</v>
      </c>
      <c r="B110" s="6">
        <v>45688</v>
      </c>
      <c r="C110" t="s">
        <v>512</v>
      </c>
      <c r="D110" t="s">
        <v>516</v>
      </c>
      <c r="E110" t="s">
        <v>518</v>
      </c>
      <c r="F110" t="s">
        <v>536</v>
      </c>
      <c r="G110">
        <v>3</v>
      </c>
      <c r="H110">
        <v>26.29</v>
      </c>
      <c r="I110">
        <v>10.54</v>
      </c>
      <c r="J110">
        <f t="shared" si="3"/>
        <v>78.87</v>
      </c>
      <c r="K110">
        <f t="shared" si="4"/>
        <v>68.330000000000013</v>
      </c>
      <c r="L110">
        <f t="shared" si="5"/>
        <v>31.619999999999997</v>
      </c>
    </row>
    <row r="111" spans="1:12" x14ac:dyDescent="0.2">
      <c r="A111" t="s">
        <v>118</v>
      </c>
      <c r="B111" s="6">
        <v>45695</v>
      </c>
      <c r="C111" t="s">
        <v>513</v>
      </c>
      <c r="D111" t="s">
        <v>514</v>
      </c>
      <c r="E111" t="s">
        <v>520</v>
      </c>
      <c r="F111" t="s">
        <v>531</v>
      </c>
      <c r="G111">
        <v>5</v>
      </c>
      <c r="H111">
        <v>59.63</v>
      </c>
      <c r="I111">
        <v>36.5</v>
      </c>
      <c r="J111">
        <f t="shared" si="3"/>
        <v>298.15000000000003</v>
      </c>
      <c r="K111">
        <f t="shared" si="4"/>
        <v>261.65000000000003</v>
      </c>
      <c r="L111">
        <f t="shared" si="5"/>
        <v>182.5</v>
      </c>
    </row>
    <row r="112" spans="1:12" x14ac:dyDescent="0.2">
      <c r="A112" t="s">
        <v>119</v>
      </c>
      <c r="B112" s="6">
        <v>45745</v>
      </c>
      <c r="C112" t="s">
        <v>512</v>
      </c>
      <c r="D112" t="s">
        <v>517</v>
      </c>
      <c r="E112" t="s">
        <v>520</v>
      </c>
      <c r="F112" t="s">
        <v>525</v>
      </c>
      <c r="G112">
        <v>4</v>
      </c>
      <c r="H112">
        <v>50.41</v>
      </c>
      <c r="I112">
        <v>26.59</v>
      </c>
      <c r="J112">
        <f t="shared" si="3"/>
        <v>201.64</v>
      </c>
      <c r="K112">
        <f t="shared" si="4"/>
        <v>175.04999999999998</v>
      </c>
      <c r="L112">
        <f t="shared" si="5"/>
        <v>106.36</v>
      </c>
    </row>
    <row r="113" spans="1:12" x14ac:dyDescent="0.2">
      <c r="A113" t="s">
        <v>120</v>
      </c>
      <c r="B113" s="6">
        <v>45774</v>
      </c>
      <c r="C113" t="s">
        <v>509</v>
      </c>
      <c r="D113" t="s">
        <v>514</v>
      </c>
      <c r="E113" t="s">
        <v>519</v>
      </c>
      <c r="F113" t="s">
        <v>524</v>
      </c>
      <c r="G113">
        <v>2</v>
      </c>
      <c r="H113">
        <v>19.87</v>
      </c>
      <c r="I113">
        <v>8.3000000000000007</v>
      </c>
      <c r="J113">
        <f t="shared" si="3"/>
        <v>39.74</v>
      </c>
      <c r="K113">
        <f t="shared" si="4"/>
        <v>31.44</v>
      </c>
      <c r="L113">
        <f t="shared" si="5"/>
        <v>16.600000000000001</v>
      </c>
    </row>
    <row r="114" spans="1:12" x14ac:dyDescent="0.2">
      <c r="A114" t="s">
        <v>121</v>
      </c>
      <c r="B114" s="6">
        <v>45714</v>
      </c>
      <c r="C114" t="s">
        <v>513</v>
      </c>
      <c r="D114" t="s">
        <v>515</v>
      </c>
      <c r="E114" t="s">
        <v>521</v>
      </c>
      <c r="F114" t="s">
        <v>528</v>
      </c>
      <c r="G114">
        <v>5</v>
      </c>
      <c r="H114">
        <v>18.3</v>
      </c>
      <c r="I114">
        <v>11.16</v>
      </c>
      <c r="J114">
        <f t="shared" si="3"/>
        <v>91.5</v>
      </c>
      <c r="K114">
        <f t="shared" si="4"/>
        <v>80.34</v>
      </c>
      <c r="L114">
        <f t="shared" si="5"/>
        <v>55.8</v>
      </c>
    </row>
    <row r="115" spans="1:12" x14ac:dyDescent="0.2">
      <c r="A115" t="s">
        <v>122</v>
      </c>
      <c r="B115" s="6">
        <v>45714</v>
      </c>
      <c r="C115" t="s">
        <v>513</v>
      </c>
      <c r="D115" t="s">
        <v>516</v>
      </c>
      <c r="E115" t="s">
        <v>521</v>
      </c>
      <c r="F115" t="s">
        <v>530</v>
      </c>
      <c r="G115">
        <v>7</v>
      </c>
      <c r="H115">
        <v>30.32</v>
      </c>
      <c r="I115">
        <v>18.809999999999999</v>
      </c>
      <c r="J115">
        <f t="shared" si="3"/>
        <v>212.24</v>
      </c>
      <c r="K115">
        <f t="shared" si="4"/>
        <v>193.43</v>
      </c>
      <c r="L115">
        <f t="shared" si="5"/>
        <v>131.66999999999999</v>
      </c>
    </row>
    <row r="116" spans="1:12" x14ac:dyDescent="0.2">
      <c r="A116" t="s">
        <v>123</v>
      </c>
      <c r="B116" s="6">
        <v>45669</v>
      </c>
      <c r="C116" t="s">
        <v>512</v>
      </c>
      <c r="D116" t="s">
        <v>516</v>
      </c>
      <c r="E116" t="s">
        <v>521</v>
      </c>
      <c r="F116" t="s">
        <v>527</v>
      </c>
      <c r="G116">
        <v>5</v>
      </c>
      <c r="H116">
        <v>17.04</v>
      </c>
      <c r="I116">
        <v>9.76</v>
      </c>
      <c r="J116">
        <f t="shared" si="3"/>
        <v>85.199999999999989</v>
      </c>
      <c r="K116">
        <f t="shared" si="4"/>
        <v>75.439999999999984</v>
      </c>
      <c r="L116">
        <f t="shared" si="5"/>
        <v>48.8</v>
      </c>
    </row>
    <row r="117" spans="1:12" x14ac:dyDescent="0.2">
      <c r="A117" t="s">
        <v>124</v>
      </c>
      <c r="B117" s="6">
        <v>45724</v>
      </c>
      <c r="C117" t="s">
        <v>511</v>
      </c>
      <c r="D117" t="s">
        <v>517</v>
      </c>
      <c r="E117" t="s">
        <v>519</v>
      </c>
      <c r="F117" t="s">
        <v>526</v>
      </c>
      <c r="G117">
        <v>3</v>
      </c>
      <c r="H117">
        <v>21.51</v>
      </c>
      <c r="I117">
        <v>15.04</v>
      </c>
      <c r="J117">
        <f t="shared" si="3"/>
        <v>64.53</v>
      </c>
      <c r="K117">
        <f t="shared" si="4"/>
        <v>49.49</v>
      </c>
      <c r="L117">
        <f t="shared" si="5"/>
        <v>45.12</v>
      </c>
    </row>
    <row r="118" spans="1:12" x14ac:dyDescent="0.2">
      <c r="A118" t="s">
        <v>125</v>
      </c>
      <c r="B118" s="6">
        <v>45669</v>
      </c>
      <c r="C118" t="s">
        <v>511</v>
      </c>
      <c r="D118" t="s">
        <v>517</v>
      </c>
      <c r="E118" t="s">
        <v>520</v>
      </c>
      <c r="F118" t="s">
        <v>531</v>
      </c>
      <c r="G118">
        <v>7</v>
      </c>
      <c r="H118">
        <v>59.83</v>
      </c>
      <c r="I118">
        <v>29.91</v>
      </c>
      <c r="J118">
        <f t="shared" si="3"/>
        <v>418.81</v>
      </c>
      <c r="K118">
        <f t="shared" si="4"/>
        <v>388.9</v>
      </c>
      <c r="L118">
        <f t="shared" si="5"/>
        <v>209.37</v>
      </c>
    </row>
    <row r="119" spans="1:12" x14ac:dyDescent="0.2">
      <c r="A119" t="s">
        <v>126</v>
      </c>
      <c r="B119" s="6">
        <v>45700</v>
      </c>
      <c r="C119" t="s">
        <v>511</v>
      </c>
      <c r="D119" t="s">
        <v>515</v>
      </c>
      <c r="E119" t="s">
        <v>518</v>
      </c>
      <c r="F119" t="s">
        <v>536</v>
      </c>
      <c r="G119">
        <v>5</v>
      </c>
      <c r="H119">
        <v>19.16</v>
      </c>
      <c r="I119">
        <v>11.47</v>
      </c>
      <c r="J119">
        <f t="shared" si="3"/>
        <v>95.8</v>
      </c>
      <c r="K119">
        <f t="shared" si="4"/>
        <v>84.33</v>
      </c>
      <c r="L119">
        <f t="shared" si="5"/>
        <v>57.35</v>
      </c>
    </row>
    <row r="120" spans="1:12" x14ac:dyDescent="0.2">
      <c r="A120" t="s">
        <v>127</v>
      </c>
      <c r="B120" s="6">
        <v>45716</v>
      </c>
      <c r="C120" t="s">
        <v>513</v>
      </c>
      <c r="D120" t="s">
        <v>517</v>
      </c>
      <c r="E120" t="s">
        <v>520</v>
      </c>
      <c r="F120" t="s">
        <v>525</v>
      </c>
      <c r="G120">
        <v>5</v>
      </c>
      <c r="H120">
        <v>65.709999999999994</v>
      </c>
      <c r="I120">
        <v>32.659999999999997</v>
      </c>
      <c r="J120">
        <f t="shared" si="3"/>
        <v>328.54999999999995</v>
      </c>
      <c r="K120">
        <f t="shared" si="4"/>
        <v>295.89</v>
      </c>
      <c r="L120">
        <f t="shared" si="5"/>
        <v>163.29999999999998</v>
      </c>
    </row>
    <row r="121" spans="1:12" x14ac:dyDescent="0.2">
      <c r="A121" t="s">
        <v>128</v>
      </c>
      <c r="B121" s="6">
        <v>45742</v>
      </c>
      <c r="C121" t="s">
        <v>510</v>
      </c>
      <c r="D121" t="s">
        <v>515</v>
      </c>
      <c r="E121" t="s">
        <v>520</v>
      </c>
      <c r="F121" t="s">
        <v>525</v>
      </c>
      <c r="G121">
        <v>7</v>
      </c>
      <c r="H121">
        <v>63.76</v>
      </c>
      <c r="I121">
        <v>26.54</v>
      </c>
      <c r="J121">
        <f t="shared" si="3"/>
        <v>446.32</v>
      </c>
      <c r="K121">
        <f t="shared" si="4"/>
        <v>419.78</v>
      </c>
      <c r="L121">
        <f t="shared" si="5"/>
        <v>185.78</v>
      </c>
    </row>
    <row r="122" spans="1:12" x14ac:dyDescent="0.2">
      <c r="A122" t="s">
        <v>129</v>
      </c>
      <c r="B122" s="6">
        <v>45738</v>
      </c>
      <c r="C122" t="s">
        <v>511</v>
      </c>
      <c r="D122" t="s">
        <v>516</v>
      </c>
      <c r="E122" t="s">
        <v>521</v>
      </c>
      <c r="F122" t="s">
        <v>530</v>
      </c>
      <c r="G122">
        <v>4</v>
      </c>
      <c r="H122">
        <v>21.96</v>
      </c>
      <c r="I122">
        <v>10.54</v>
      </c>
      <c r="J122">
        <f t="shared" si="3"/>
        <v>87.84</v>
      </c>
      <c r="K122">
        <f t="shared" si="4"/>
        <v>77.300000000000011</v>
      </c>
      <c r="L122">
        <f t="shared" si="5"/>
        <v>42.16</v>
      </c>
    </row>
    <row r="123" spans="1:12" x14ac:dyDescent="0.2">
      <c r="A123" t="s">
        <v>130</v>
      </c>
      <c r="B123" s="6">
        <v>45714</v>
      </c>
      <c r="C123" t="s">
        <v>511</v>
      </c>
      <c r="D123" t="s">
        <v>516</v>
      </c>
      <c r="E123" t="s">
        <v>519</v>
      </c>
      <c r="F123" t="s">
        <v>534</v>
      </c>
      <c r="G123">
        <v>1</v>
      </c>
      <c r="H123">
        <v>15.45</v>
      </c>
      <c r="I123">
        <v>10.69</v>
      </c>
      <c r="J123">
        <f t="shared" si="3"/>
        <v>15.45</v>
      </c>
      <c r="K123">
        <f t="shared" si="4"/>
        <v>4.76</v>
      </c>
      <c r="L123">
        <f t="shared" si="5"/>
        <v>10.69</v>
      </c>
    </row>
    <row r="124" spans="1:12" x14ac:dyDescent="0.2">
      <c r="A124" t="s">
        <v>131</v>
      </c>
      <c r="B124" s="6">
        <v>45697</v>
      </c>
      <c r="C124" t="s">
        <v>510</v>
      </c>
      <c r="D124" t="s">
        <v>516</v>
      </c>
      <c r="E124" t="s">
        <v>519</v>
      </c>
      <c r="F124" t="s">
        <v>524</v>
      </c>
      <c r="G124">
        <v>7</v>
      </c>
      <c r="H124">
        <v>27.01</v>
      </c>
      <c r="I124">
        <v>11.56</v>
      </c>
      <c r="J124">
        <f t="shared" si="3"/>
        <v>189.07000000000002</v>
      </c>
      <c r="K124">
        <f t="shared" si="4"/>
        <v>177.51000000000002</v>
      </c>
      <c r="L124">
        <f t="shared" si="5"/>
        <v>80.92</v>
      </c>
    </row>
    <row r="125" spans="1:12" x14ac:dyDescent="0.2">
      <c r="A125" t="s">
        <v>132</v>
      </c>
      <c r="B125" s="6">
        <v>45673</v>
      </c>
      <c r="C125" t="s">
        <v>512</v>
      </c>
      <c r="D125" t="s">
        <v>515</v>
      </c>
      <c r="E125" t="s">
        <v>518</v>
      </c>
      <c r="F125" t="s">
        <v>537</v>
      </c>
      <c r="G125">
        <v>5</v>
      </c>
      <c r="H125">
        <v>17.989999999999998</v>
      </c>
      <c r="I125">
        <v>9.94</v>
      </c>
      <c r="J125">
        <f t="shared" si="3"/>
        <v>89.949999999999989</v>
      </c>
      <c r="K125">
        <f t="shared" si="4"/>
        <v>80.009999999999991</v>
      </c>
      <c r="L125">
        <f t="shared" si="5"/>
        <v>49.699999999999996</v>
      </c>
    </row>
    <row r="126" spans="1:12" x14ac:dyDescent="0.2">
      <c r="A126" t="s">
        <v>133</v>
      </c>
      <c r="B126" s="6">
        <v>45764</v>
      </c>
      <c r="C126" t="s">
        <v>511</v>
      </c>
      <c r="D126" t="s">
        <v>515</v>
      </c>
      <c r="E126" t="s">
        <v>521</v>
      </c>
      <c r="F126" t="s">
        <v>530</v>
      </c>
      <c r="G126">
        <v>4</v>
      </c>
      <c r="H126">
        <v>20.93</v>
      </c>
      <c r="I126">
        <v>11.24</v>
      </c>
      <c r="J126">
        <f t="shared" si="3"/>
        <v>83.72</v>
      </c>
      <c r="K126">
        <f t="shared" si="4"/>
        <v>72.48</v>
      </c>
      <c r="L126">
        <f t="shared" si="5"/>
        <v>44.96</v>
      </c>
    </row>
    <row r="127" spans="1:12" x14ac:dyDescent="0.2">
      <c r="A127" t="s">
        <v>134</v>
      </c>
      <c r="B127" s="6">
        <v>45682</v>
      </c>
      <c r="C127" t="s">
        <v>510</v>
      </c>
      <c r="D127" t="s">
        <v>514</v>
      </c>
      <c r="E127" t="s">
        <v>519</v>
      </c>
      <c r="F127" t="s">
        <v>526</v>
      </c>
      <c r="G127">
        <v>2</v>
      </c>
      <c r="H127">
        <v>30.95</v>
      </c>
      <c r="I127">
        <v>14.94</v>
      </c>
      <c r="J127">
        <f t="shared" si="3"/>
        <v>61.9</v>
      </c>
      <c r="K127">
        <f t="shared" si="4"/>
        <v>46.96</v>
      </c>
      <c r="L127">
        <f t="shared" si="5"/>
        <v>29.88</v>
      </c>
    </row>
    <row r="128" spans="1:12" x14ac:dyDescent="0.2">
      <c r="A128" t="s">
        <v>135</v>
      </c>
      <c r="B128" s="6">
        <v>45777</v>
      </c>
      <c r="C128" t="s">
        <v>510</v>
      </c>
      <c r="D128" t="s">
        <v>517</v>
      </c>
      <c r="E128" t="s">
        <v>520</v>
      </c>
      <c r="F128" t="s">
        <v>531</v>
      </c>
      <c r="G128">
        <v>1</v>
      </c>
      <c r="H128">
        <v>55.05</v>
      </c>
      <c r="I128">
        <v>26.69</v>
      </c>
      <c r="J128">
        <f t="shared" si="3"/>
        <v>55.05</v>
      </c>
      <c r="K128">
        <f t="shared" si="4"/>
        <v>28.359999999999996</v>
      </c>
      <c r="L128">
        <f t="shared" si="5"/>
        <v>26.69</v>
      </c>
    </row>
    <row r="129" spans="1:12" x14ac:dyDescent="0.2">
      <c r="A129" t="s">
        <v>136</v>
      </c>
      <c r="B129" s="6">
        <v>45768</v>
      </c>
      <c r="C129" t="s">
        <v>512</v>
      </c>
      <c r="D129" t="s">
        <v>515</v>
      </c>
      <c r="E129" t="s">
        <v>521</v>
      </c>
      <c r="F129" t="s">
        <v>530</v>
      </c>
      <c r="G129">
        <v>8</v>
      </c>
      <c r="H129">
        <v>15.17</v>
      </c>
      <c r="I129">
        <v>7.64</v>
      </c>
      <c r="J129">
        <f t="shared" si="3"/>
        <v>121.36</v>
      </c>
      <c r="K129">
        <f t="shared" si="4"/>
        <v>113.72</v>
      </c>
      <c r="L129">
        <f t="shared" si="5"/>
        <v>61.12</v>
      </c>
    </row>
    <row r="130" spans="1:12" x14ac:dyDescent="0.2">
      <c r="A130" t="s">
        <v>137</v>
      </c>
      <c r="B130" s="6">
        <v>45777</v>
      </c>
      <c r="C130" t="s">
        <v>509</v>
      </c>
      <c r="D130" t="s">
        <v>514</v>
      </c>
      <c r="E130" t="s">
        <v>520</v>
      </c>
      <c r="F130" t="s">
        <v>531</v>
      </c>
      <c r="G130">
        <v>4</v>
      </c>
      <c r="H130">
        <v>60.5</v>
      </c>
      <c r="I130">
        <v>34.58</v>
      </c>
      <c r="J130">
        <f t="shared" ref="J130:J193" si="6">(G130*H130)</f>
        <v>242</v>
      </c>
      <c r="K130">
        <f t="shared" ref="K130:K193" si="7">(J130-I130)</f>
        <v>207.42000000000002</v>
      </c>
      <c r="L130">
        <f t="shared" si="5"/>
        <v>138.32</v>
      </c>
    </row>
    <row r="131" spans="1:12" x14ac:dyDescent="0.2">
      <c r="A131" t="s">
        <v>138</v>
      </c>
      <c r="B131" s="6">
        <v>45663</v>
      </c>
      <c r="C131" t="s">
        <v>509</v>
      </c>
      <c r="D131" t="s">
        <v>515</v>
      </c>
      <c r="E131" t="s">
        <v>519</v>
      </c>
      <c r="F131" t="s">
        <v>526</v>
      </c>
      <c r="G131">
        <v>7</v>
      </c>
      <c r="H131">
        <v>17.48</v>
      </c>
      <c r="I131">
        <v>9.02</v>
      </c>
      <c r="J131">
        <f t="shared" si="6"/>
        <v>122.36</v>
      </c>
      <c r="K131">
        <f t="shared" si="7"/>
        <v>113.34</v>
      </c>
      <c r="L131">
        <f t="shared" ref="L131:L194" si="8">(G131*I131)</f>
        <v>63.14</v>
      </c>
    </row>
    <row r="132" spans="1:12" x14ac:dyDescent="0.2">
      <c r="A132" t="s">
        <v>139</v>
      </c>
      <c r="B132" s="6">
        <v>45662</v>
      </c>
      <c r="C132" t="s">
        <v>512</v>
      </c>
      <c r="D132" t="s">
        <v>517</v>
      </c>
      <c r="E132" t="s">
        <v>519</v>
      </c>
      <c r="F132" t="s">
        <v>526</v>
      </c>
      <c r="G132">
        <v>2</v>
      </c>
      <c r="H132">
        <v>12.25</v>
      </c>
      <c r="I132">
        <v>8.11</v>
      </c>
      <c r="J132">
        <f t="shared" si="6"/>
        <v>24.5</v>
      </c>
      <c r="K132">
        <f t="shared" si="7"/>
        <v>16.39</v>
      </c>
      <c r="L132">
        <f t="shared" si="8"/>
        <v>16.22</v>
      </c>
    </row>
    <row r="133" spans="1:12" x14ac:dyDescent="0.2">
      <c r="A133" t="s">
        <v>140</v>
      </c>
      <c r="B133" s="6">
        <v>45725</v>
      </c>
      <c r="C133" t="s">
        <v>511</v>
      </c>
      <c r="D133" t="s">
        <v>516</v>
      </c>
      <c r="E133" t="s">
        <v>520</v>
      </c>
      <c r="F133" t="s">
        <v>525</v>
      </c>
      <c r="G133">
        <v>3</v>
      </c>
      <c r="H133">
        <v>60.34</v>
      </c>
      <c r="I133">
        <v>31.56</v>
      </c>
      <c r="J133">
        <f t="shared" si="6"/>
        <v>181.02</v>
      </c>
      <c r="K133">
        <f t="shared" si="7"/>
        <v>149.46</v>
      </c>
      <c r="L133">
        <f t="shared" si="8"/>
        <v>94.679999999999993</v>
      </c>
    </row>
    <row r="134" spans="1:12" x14ac:dyDescent="0.2">
      <c r="A134" t="s">
        <v>141</v>
      </c>
      <c r="B134" s="6">
        <v>45718</v>
      </c>
      <c r="C134" t="s">
        <v>509</v>
      </c>
      <c r="D134" t="s">
        <v>517</v>
      </c>
      <c r="E134" t="s">
        <v>519</v>
      </c>
      <c r="F134" t="s">
        <v>535</v>
      </c>
      <c r="G134">
        <v>7</v>
      </c>
      <c r="H134">
        <v>14.69</v>
      </c>
      <c r="I134">
        <v>8.74</v>
      </c>
      <c r="J134">
        <f t="shared" si="6"/>
        <v>102.83</v>
      </c>
      <c r="K134">
        <f t="shared" si="7"/>
        <v>94.09</v>
      </c>
      <c r="L134">
        <f t="shared" si="8"/>
        <v>61.18</v>
      </c>
    </row>
    <row r="135" spans="1:12" x14ac:dyDescent="0.2">
      <c r="A135" t="s">
        <v>142</v>
      </c>
      <c r="B135" s="6">
        <v>45698</v>
      </c>
      <c r="C135" t="s">
        <v>511</v>
      </c>
      <c r="D135" t="s">
        <v>516</v>
      </c>
      <c r="E135" t="s">
        <v>521</v>
      </c>
      <c r="F135" t="s">
        <v>530</v>
      </c>
      <c r="G135">
        <v>2</v>
      </c>
      <c r="H135">
        <v>20.37</v>
      </c>
      <c r="I135">
        <v>9.58</v>
      </c>
      <c r="J135">
        <f t="shared" si="6"/>
        <v>40.74</v>
      </c>
      <c r="K135">
        <f t="shared" si="7"/>
        <v>31.160000000000004</v>
      </c>
      <c r="L135">
        <f t="shared" si="8"/>
        <v>19.16</v>
      </c>
    </row>
    <row r="136" spans="1:12" x14ac:dyDescent="0.2">
      <c r="A136" t="s">
        <v>143</v>
      </c>
      <c r="B136" s="6">
        <v>45753</v>
      </c>
      <c r="C136" t="s">
        <v>513</v>
      </c>
      <c r="D136" t="s">
        <v>515</v>
      </c>
      <c r="E136" t="s">
        <v>521</v>
      </c>
      <c r="F136" t="s">
        <v>529</v>
      </c>
      <c r="G136">
        <v>2</v>
      </c>
      <c r="H136">
        <v>13.4</v>
      </c>
      <c r="I136">
        <v>8.42</v>
      </c>
      <c r="J136">
        <f t="shared" si="6"/>
        <v>26.8</v>
      </c>
      <c r="K136">
        <f t="shared" si="7"/>
        <v>18.380000000000003</v>
      </c>
      <c r="L136">
        <f t="shared" si="8"/>
        <v>16.84</v>
      </c>
    </row>
    <row r="137" spans="1:12" x14ac:dyDescent="0.2">
      <c r="A137" t="s">
        <v>144</v>
      </c>
      <c r="B137" s="6">
        <v>45679</v>
      </c>
      <c r="C137" t="s">
        <v>509</v>
      </c>
      <c r="D137" t="s">
        <v>516</v>
      </c>
      <c r="E137" t="s">
        <v>518</v>
      </c>
      <c r="F137" t="s">
        <v>537</v>
      </c>
      <c r="G137">
        <v>1</v>
      </c>
      <c r="H137">
        <v>32.75</v>
      </c>
      <c r="I137">
        <v>16.29</v>
      </c>
      <c r="J137">
        <f t="shared" si="6"/>
        <v>32.75</v>
      </c>
      <c r="K137">
        <f t="shared" si="7"/>
        <v>16.46</v>
      </c>
      <c r="L137">
        <f t="shared" si="8"/>
        <v>16.29</v>
      </c>
    </row>
    <row r="138" spans="1:12" x14ac:dyDescent="0.2">
      <c r="A138" t="s">
        <v>145</v>
      </c>
      <c r="B138" s="6">
        <v>45703</v>
      </c>
      <c r="C138" t="s">
        <v>509</v>
      </c>
      <c r="D138" t="s">
        <v>515</v>
      </c>
      <c r="E138" t="s">
        <v>518</v>
      </c>
      <c r="F138" t="s">
        <v>533</v>
      </c>
      <c r="G138">
        <v>3</v>
      </c>
      <c r="H138">
        <v>21.08</v>
      </c>
      <c r="I138">
        <v>9.98</v>
      </c>
      <c r="J138">
        <f t="shared" si="6"/>
        <v>63.239999999999995</v>
      </c>
      <c r="K138">
        <f t="shared" si="7"/>
        <v>53.259999999999991</v>
      </c>
      <c r="L138">
        <f t="shared" si="8"/>
        <v>29.94</v>
      </c>
    </row>
    <row r="139" spans="1:12" x14ac:dyDescent="0.2">
      <c r="A139" t="s">
        <v>146</v>
      </c>
      <c r="B139" s="6">
        <v>45679</v>
      </c>
      <c r="C139" t="s">
        <v>512</v>
      </c>
      <c r="D139" t="s">
        <v>516</v>
      </c>
      <c r="E139" t="s">
        <v>520</v>
      </c>
      <c r="F139" t="s">
        <v>525</v>
      </c>
      <c r="G139">
        <v>7</v>
      </c>
      <c r="H139">
        <v>58.39</v>
      </c>
      <c r="I139">
        <v>34.21</v>
      </c>
      <c r="J139">
        <f t="shared" si="6"/>
        <v>408.73</v>
      </c>
      <c r="K139">
        <f t="shared" si="7"/>
        <v>374.52000000000004</v>
      </c>
      <c r="L139">
        <f t="shared" si="8"/>
        <v>239.47</v>
      </c>
    </row>
    <row r="140" spans="1:12" x14ac:dyDescent="0.2">
      <c r="A140" t="s">
        <v>147</v>
      </c>
      <c r="B140" s="6">
        <v>45774</v>
      </c>
      <c r="C140" t="s">
        <v>510</v>
      </c>
      <c r="D140" t="s">
        <v>514</v>
      </c>
      <c r="E140" t="s">
        <v>519</v>
      </c>
      <c r="F140" t="s">
        <v>526</v>
      </c>
      <c r="G140">
        <v>4</v>
      </c>
      <c r="H140">
        <v>24.07</v>
      </c>
      <c r="I140">
        <v>12.96</v>
      </c>
      <c r="J140">
        <f t="shared" si="6"/>
        <v>96.28</v>
      </c>
      <c r="K140">
        <f t="shared" si="7"/>
        <v>83.32</v>
      </c>
      <c r="L140">
        <f t="shared" si="8"/>
        <v>51.84</v>
      </c>
    </row>
    <row r="141" spans="1:12" x14ac:dyDescent="0.2">
      <c r="A141" t="s">
        <v>148</v>
      </c>
      <c r="B141" s="6">
        <v>45690</v>
      </c>
      <c r="C141" t="s">
        <v>513</v>
      </c>
      <c r="D141" t="s">
        <v>515</v>
      </c>
      <c r="E141" t="s">
        <v>521</v>
      </c>
      <c r="F141" t="s">
        <v>530</v>
      </c>
      <c r="G141">
        <v>5</v>
      </c>
      <c r="H141">
        <v>11.85</v>
      </c>
      <c r="I141">
        <v>7.15</v>
      </c>
      <c r="J141">
        <f t="shared" si="6"/>
        <v>59.25</v>
      </c>
      <c r="K141">
        <f t="shared" si="7"/>
        <v>52.1</v>
      </c>
      <c r="L141">
        <f t="shared" si="8"/>
        <v>35.75</v>
      </c>
    </row>
    <row r="142" spans="1:12" x14ac:dyDescent="0.2">
      <c r="A142" t="s">
        <v>149</v>
      </c>
      <c r="B142" s="6">
        <v>45714</v>
      </c>
      <c r="C142" t="s">
        <v>509</v>
      </c>
      <c r="D142" t="s">
        <v>517</v>
      </c>
      <c r="E142" t="s">
        <v>519</v>
      </c>
      <c r="F142" t="s">
        <v>535</v>
      </c>
      <c r="G142">
        <v>7</v>
      </c>
      <c r="H142">
        <v>21.14</v>
      </c>
      <c r="I142">
        <v>12.83</v>
      </c>
      <c r="J142">
        <f t="shared" si="6"/>
        <v>147.98000000000002</v>
      </c>
      <c r="K142">
        <f t="shared" si="7"/>
        <v>135.15</v>
      </c>
      <c r="L142">
        <f t="shared" si="8"/>
        <v>89.81</v>
      </c>
    </row>
    <row r="143" spans="1:12" x14ac:dyDescent="0.2">
      <c r="A143" t="s">
        <v>150</v>
      </c>
      <c r="B143" s="6">
        <v>45683</v>
      </c>
      <c r="C143" t="s">
        <v>511</v>
      </c>
      <c r="D143" t="s">
        <v>515</v>
      </c>
      <c r="E143" t="s">
        <v>520</v>
      </c>
      <c r="F143" t="s">
        <v>531</v>
      </c>
      <c r="G143">
        <v>2</v>
      </c>
      <c r="H143">
        <v>66.540000000000006</v>
      </c>
      <c r="I143">
        <v>31.35</v>
      </c>
      <c r="J143">
        <f t="shared" si="6"/>
        <v>133.08000000000001</v>
      </c>
      <c r="K143">
        <f t="shared" si="7"/>
        <v>101.73000000000002</v>
      </c>
      <c r="L143">
        <f t="shared" si="8"/>
        <v>62.7</v>
      </c>
    </row>
    <row r="144" spans="1:12" x14ac:dyDescent="0.2">
      <c r="A144" t="s">
        <v>151</v>
      </c>
      <c r="B144" s="6">
        <v>45747</v>
      </c>
      <c r="C144" t="s">
        <v>509</v>
      </c>
      <c r="D144" t="s">
        <v>516</v>
      </c>
      <c r="E144" t="s">
        <v>521</v>
      </c>
      <c r="F144" t="s">
        <v>528</v>
      </c>
      <c r="G144">
        <v>7</v>
      </c>
      <c r="H144">
        <v>9.9600000000000009</v>
      </c>
      <c r="I144">
        <v>4.8</v>
      </c>
      <c r="J144">
        <f t="shared" si="6"/>
        <v>69.72</v>
      </c>
      <c r="K144">
        <f t="shared" si="7"/>
        <v>64.92</v>
      </c>
      <c r="L144">
        <f t="shared" si="8"/>
        <v>33.6</v>
      </c>
    </row>
    <row r="145" spans="1:12" x14ac:dyDescent="0.2">
      <c r="A145" t="s">
        <v>152</v>
      </c>
      <c r="B145" s="6">
        <v>45753</v>
      </c>
      <c r="C145" t="s">
        <v>511</v>
      </c>
      <c r="D145" t="s">
        <v>517</v>
      </c>
      <c r="E145" t="s">
        <v>518</v>
      </c>
      <c r="F145" t="s">
        <v>523</v>
      </c>
      <c r="G145">
        <v>4</v>
      </c>
      <c r="H145">
        <v>25.92</v>
      </c>
      <c r="I145">
        <v>15.09</v>
      </c>
      <c r="J145">
        <f t="shared" si="6"/>
        <v>103.68</v>
      </c>
      <c r="K145">
        <f t="shared" si="7"/>
        <v>88.59</v>
      </c>
      <c r="L145">
        <f t="shared" si="8"/>
        <v>60.36</v>
      </c>
    </row>
    <row r="146" spans="1:12" x14ac:dyDescent="0.2">
      <c r="A146" t="s">
        <v>153</v>
      </c>
      <c r="B146" s="6">
        <v>45739</v>
      </c>
      <c r="C146" t="s">
        <v>512</v>
      </c>
      <c r="D146" t="s">
        <v>517</v>
      </c>
      <c r="E146" t="s">
        <v>521</v>
      </c>
      <c r="F146" t="s">
        <v>529</v>
      </c>
      <c r="G146">
        <v>3</v>
      </c>
      <c r="H146">
        <v>19.3</v>
      </c>
      <c r="I146">
        <v>11.36</v>
      </c>
      <c r="J146">
        <f t="shared" si="6"/>
        <v>57.900000000000006</v>
      </c>
      <c r="K146">
        <f t="shared" si="7"/>
        <v>46.540000000000006</v>
      </c>
      <c r="L146">
        <f t="shared" si="8"/>
        <v>34.08</v>
      </c>
    </row>
    <row r="147" spans="1:12" x14ac:dyDescent="0.2">
      <c r="A147" t="s">
        <v>154</v>
      </c>
      <c r="B147" s="6">
        <v>45758</v>
      </c>
      <c r="C147" t="s">
        <v>511</v>
      </c>
      <c r="D147" t="s">
        <v>516</v>
      </c>
      <c r="E147" t="s">
        <v>518</v>
      </c>
      <c r="F147" t="s">
        <v>533</v>
      </c>
      <c r="G147">
        <v>6</v>
      </c>
      <c r="H147">
        <v>28.91</v>
      </c>
      <c r="I147">
        <v>17.920000000000002</v>
      </c>
      <c r="J147">
        <f t="shared" si="6"/>
        <v>173.46</v>
      </c>
      <c r="K147">
        <f t="shared" si="7"/>
        <v>155.54000000000002</v>
      </c>
      <c r="L147">
        <f t="shared" si="8"/>
        <v>107.52000000000001</v>
      </c>
    </row>
    <row r="148" spans="1:12" x14ac:dyDescent="0.2">
      <c r="A148" t="s">
        <v>155</v>
      </c>
      <c r="B148" s="6">
        <v>45699</v>
      </c>
      <c r="C148" t="s">
        <v>511</v>
      </c>
      <c r="D148" t="s">
        <v>514</v>
      </c>
      <c r="E148" t="s">
        <v>518</v>
      </c>
      <c r="F148" t="s">
        <v>533</v>
      </c>
      <c r="G148">
        <v>4</v>
      </c>
      <c r="H148">
        <v>18.82</v>
      </c>
      <c r="I148">
        <v>8.27</v>
      </c>
      <c r="J148">
        <f t="shared" si="6"/>
        <v>75.28</v>
      </c>
      <c r="K148">
        <f t="shared" si="7"/>
        <v>67.010000000000005</v>
      </c>
      <c r="L148">
        <f t="shared" si="8"/>
        <v>33.08</v>
      </c>
    </row>
    <row r="149" spans="1:12" x14ac:dyDescent="0.2">
      <c r="A149" t="s">
        <v>156</v>
      </c>
      <c r="B149" s="6">
        <v>45764</v>
      </c>
      <c r="C149" t="s">
        <v>512</v>
      </c>
      <c r="D149" t="s">
        <v>517</v>
      </c>
      <c r="E149" t="s">
        <v>521</v>
      </c>
      <c r="F149" t="s">
        <v>528</v>
      </c>
      <c r="G149">
        <v>8</v>
      </c>
      <c r="H149">
        <v>11.4</v>
      </c>
      <c r="I149">
        <v>7.87</v>
      </c>
      <c r="J149">
        <f t="shared" si="6"/>
        <v>91.2</v>
      </c>
      <c r="K149">
        <f t="shared" si="7"/>
        <v>83.33</v>
      </c>
      <c r="L149">
        <f t="shared" si="8"/>
        <v>62.96</v>
      </c>
    </row>
    <row r="150" spans="1:12" x14ac:dyDescent="0.2">
      <c r="A150" t="s">
        <v>157</v>
      </c>
      <c r="B150" s="6">
        <v>45760</v>
      </c>
      <c r="C150" t="s">
        <v>513</v>
      </c>
      <c r="D150" t="s">
        <v>515</v>
      </c>
      <c r="E150" t="s">
        <v>521</v>
      </c>
      <c r="F150" t="s">
        <v>528</v>
      </c>
      <c r="G150">
        <v>2</v>
      </c>
      <c r="H150">
        <v>20.61</v>
      </c>
      <c r="I150">
        <v>9.11</v>
      </c>
      <c r="J150">
        <f t="shared" si="6"/>
        <v>41.22</v>
      </c>
      <c r="K150">
        <f t="shared" si="7"/>
        <v>32.11</v>
      </c>
      <c r="L150">
        <f t="shared" si="8"/>
        <v>18.22</v>
      </c>
    </row>
    <row r="151" spans="1:12" x14ac:dyDescent="0.2">
      <c r="A151" t="s">
        <v>158</v>
      </c>
      <c r="B151" s="6">
        <v>45766</v>
      </c>
      <c r="C151" t="s">
        <v>510</v>
      </c>
      <c r="D151" t="s">
        <v>517</v>
      </c>
      <c r="E151" t="s">
        <v>519</v>
      </c>
      <c r="F151" t="s">
        <v>526</v>
      </c>
      <c r="G151">
        <v>2</v>
      </c>
      <c r="H151">
        <v>21.48</v>
      </c>
      <c r="I151">
        <v>13.69</v>
      </c>
      <c r="J151">
        <f t="shared" si="6"/>
        <v>42.96</v>
      </c>
      <c r="K151">
        <f t="shared" si="7"/>
        <v>29.270000000000003</v>
      </c>
      <c r="L151">
        <f t="shared" si="8"/>
        <v>27.38</v>
      </c>
    </row>
    <row r="152" spans="1:12" x14ac:dyDescent="0.2">
      <c r="A152" t="s">
        <v>159</v>
      </c>
      <c r="B152" s="6">
        <v>45726</v>
      </c>
      <c r="C152" t="s">
        <v>513</v>
      </c>
      <c r="D152" t="s">
        <v>515</v>
      </c>
      <c r="E152" t="s">
        <v>518</v>
      </c>
      <c r="F152" t="s">
        <v>533</v>
      </c>
      <c r="G152">
        <v>6</v>
      </c>
      <c r="H152">
        <v>26.25</v>
      </c>
      <c r="I152">
        <v>15.8</v>
      </c>
      <c r="J152">
        <f t="shared" si="6"/>
        <v>157.5</v>
      </c>
      <c r="K152">
        <f t="shared" si="7"/>
        <v>141.69999999999999</v>
      </c>
      <c r="L152">
        <f t="shared" si="8"/>
        <v>94.800000000000011</v>
      </c>
    </row>
    <row r="153" spans="1:12" x14ac:dyDescent="0.2">
      <c r="A153" t="s">
        <v>160</v>
      </c>
      <c r="B153" s="6">
        <v>45763</v>
      </c>
      <c r="C153" t="s">
        <v>509</v>
      </c>
      <c r="D153" t="s">
        <v>516</v>
      </c>
      <c r="E153" t="s">
        <v>521</v>
      </c>
      <c r="F153" t="s">
        <v>530</v>
      </c>
      <c r="G153">
        <v>4</v>
      </c>
      <c r="H153">
        <v>19.73</v>
      </c>
      <c r="I153">
        <v>10.68</v>
      </c>
      <c r="J153">
        <f t="shared" si="6"/>
        <v>78.92</v>
      </c>
      <c r="K153">
        <f t="shared" si="7"/>
        <v>68.240000000000009</v>
      </c>
      <c r="L153">
        <f t="shared" si="8"/>
        <v>42.72</v>
      </c>
    </row>
    <row r="154" spans="1:12" x14ac:dyDescent="0.2">
      <c r="A154" t="s">
        <v>161</v>
      </c>
      <c r="B154" s="6">
        <v>45740</v>
      </c>
      <c r="C154" t="s">
        <v>513</v>
      </c>
      <c r="D154" t="s">
        <v>515</v>
      </c>
      <c r="E154" t="s">
        <v>521</v>
      </c>
      <c r="F154" t="s">
        <v>529</v>
      </c>
      <c r="G154">
        <v>5</v>
      </c>
      <c r="H154">
        <v>14.6</v>
      </c>
      <c r="I154">
        <v>8.68</v>
      </c>
      <c r="J154">
        <f t="shared" si="6"/>
        <v>73</v>
      </c>
      <c r="K154">
        <f t="shared" si="7"/>
        <v>64.319999999999993</v>
      </c>
      <c r="L154">
        <f t="shared" si="8"/>
        <v>43.4</v>
      </c>
    </row>
    <row r="155" spans="1:12" x14ac:dyDescent="0.2">
      <c r="A155" t="s">
        <v>162</v>
      </c>
      <c r="B155" s="6">
        <v>45663</v>
      </c>
      <c r="C155" t="s">
        <v>513</v>
      </c>
      <c r="D155" t="s">
        <v>517</v>
      </c>
      <c r="E155" t="s">
        <v>518</v>
      </c>
      <c r="F155" t="s">
        <v>536</v>
      </c>
      <c r="G155">
        <v>8</v>
      </c>
      <c r="H155">
        <v>26.16</v>
      </c>
      <c r="I155">
        <v>11.38</v>
      </c>
      <c r="J155">
        <f t="shared" si="6"/>
        <v>209.28</v>
      </c>
      <c r="K155">
        <f t="shared" si="7"/>
        <v>197.9</v>
      </c>
      <c r="L155">
        <f t="shared" si="8"/>
        <v>91.04</v>
      </c>
    </row>
    <row r="156" spans="1:12" x14ac:dyDescent="0.2">
      <c r="A156" t="s">
        <v>163</v>
      </c>
      <c r="B156" s="6">
        <v>45675</v>
      </c>
      <c r="C156" t="s">
        <v>511</v>
      </c>
      <c r="D156" t="s">
        <v>515</v>
      </c>
      <c r="E156" t="s">
        <v>519</v>
      </c>
      <c r="F156" t="s">
        <v>532</v>
      </c>
      <c r="G156">
        <v>6</v>
      </c>
      <c r="H156">
        <v>21.47</v>
      </c>
      <c r="I156">
        <v>12.91</v>
      </c>
      <c r="J156">
        <f t="shared" si="6"/>
        <v>128.82</v>
      </c>
      <c r="K156">
        <f t="shared" si="7"/>
        <v>115.91</v>
      </c>
      <c r="L156">
        <f t="shared" si="8"/>
        <v>77.460000000000008</v>
      </c>
    </row>
    <row r="157" spans="1:12" x14ac:dyDescent="0.2">
      <c r="A157" t="s">
        <v>164</v>
      </c>
      <c r="B157" s="6">
        <v>45771</v>
      </c>
      <c r="C157" t="s">
        <v>511</v>
      </c>
      <c r="D157" t="s">
        <v>516</v>
      </c>
      <c r="E157" t="s">
        <v>520</v>
      </c>
      <c r="F157" t="s">
        <v>525</v>
      </c>
      <c r="G157">
        <v>8</v>
      </c>
      <c r="H157">
        <v>56.43</v>
      </c>
      <c r="I157">
        <v>32.99</v>
      </c>
      <c r="J157">
        <f t="shared" si="6"/>
        <v>451.44</v>
      </c>
      <c r="K157">
        <f t="shared" si="7"/>
        <v>418.45</v>
      </c>
      <c r="L157">
        <f t="shared" si="8"/>
        <v>263.92</v>
      </c>
    </row>
    <row r="158" spans="1:12" x14ac:dyDescent="0.2">
      <c r="A158" t="s">
        <v>165</v>
      </c>
      <c r="B158" s="6">
        <v>45746</v>
      </c>
      <c r="C158" t="s">
        <v>509</v>
      </c>
      <c r="D158" t="s">
        <v>514</v>
      </c>
      <c r="E158" t="s">
        <v>521</v>
      </c>
      <c r="F158" t="s">
        <v>527</v>
      </c>
      <c r="G158">
        <v>8</v>
      </c>
      <c r="H158">
        <v>27.33</v>
      </c>
      <c r="I158">
        <v>14.58</v>
      </c>
      <c r="J158">
        <f t="shared" si="6"/>
        <v>218.64</v>
      </c>
      <c r="K158">
        <f t="shared" si="7"/>
        <v>204.05999999999997</v>
      </c>
      <c r="L158">
        <f t="shared" si="8"/>
        <v>116.64</v>
      </c>
    </row>
    <row r="159" spans="1:12" x14ac:dyDescent="0.2">
      <c r="A159" t="s">
        <v>166</v>
      </c>
      <c r="B159" s="6">
        <v>45670</v>
      </c>
      <c r="C159" t="s">
        <v>509</v>
      </c>
      <c r="D159" t="s">
        <v>517</v>
      </c>
      <c r="E159" t="s">
        <v>519</v>
      </c>
      <c r="F159" t="s">
        <v>534</v>
      </c>
      <c r="G159">
        <v>1</v>
      </c>
      <c r="H159">
        <v>22.37</v>
      </c>
      <c r="I159">
        <v>11.62</v>
      </c>
      <c r="J159">
        <f t="shared" si="6"/>
        <v>22.37</v>
      </c>
      <c r="K159">
        <f t="shared" si="7"/>
        <v>10.750000000000002</v>
      </c>
      <c r="L159">
        <f t="shared" si="8"/>
        <v>11.62</v>
      </c>
    </row>
    <row r="160" spans="1:12" x14ac:dyDescent="0.2">
      <c r="A160" t="s">
        <v>167</v>
      </c>
      <c r="B160" s="6">
        <v>45766</v>
      </c>
      <c r="C160" t="s">
        <v>511</v>
      </c>
      <c r="D160" t="s">
        <v>516</v>
      </c>
      <c r="E160" t="s">
        <v>519</v>
      </c>
      <c r="F160" t="s">
        <v>535</v>
      </c>
      <c r="G160">
        <v>4</v>
      </c>
      <c r="H160">
        <v>14.04</v>
      </c>
      <c r="I160">
        <v>8.32</v>
      </c>
      <c r="J160">
        <f t="shared" si="6"/>
        <v>56.16</v>
      </c>
      <c r="K160">
        <f t="shared" si="7"/>
        <v>47.839999999999996</v>
      </c>
      <c r="L160">
        <f t="shared" si="8"/>
        <v>33.28</v>
      </c>
    </row>
    <row r="161" spans="1:12" x14ac:dyDescent="0.2">
      <c r="A161" t="s">
        <v>168</v>
      </c>
      <c r="B161" s="6">
        <v>45758</v>
      </c>
      <c r="C161" t="s">
        <v>509</v>
      </c>
      <c r="D161" t="s">
        <v>514</v>
      </c>
      <c r="E161" t="s">
        <v>518</v>
      </c>
      <c r="F161" t="s">
        <v>522</v>
      </c>
      <c r="G161">
        <v>3</v>
      </c>
      <c r="H161">
        <v>28.28</v>
      </c>
      <c r="I161">
        <v>17.989999999999998</v>
      </c>
      <c r="J161">
        <f t="shared" si="6"/>
        <v>84.84</v>
      </c>
      <c r="K161">
        <f t="shared" si="7"/>
        <v>66.850000000000009</v>
      </c>
      <c r="L161">
        <f t="shared" si="8"/>
        <v>53.97</v>
      </c>
    </row>
    <row r="162" spans="1:12" x14ac:dyDescent="0.2">
      <c r="A162" t="s">
        <v>169</v>
      </c>
      <c r="B162" s="6">
        <v>45764</v>
      </c>
      <c r="C162" t="s">
        <v>510</v>
      </c>
      <c r="D162" t="s">
        <v>514</v>
      </c>
      <c r="E162" t="s">
        <v>519</v>
      </c>
      <c r="F162" t="s">
        <v>535</v>
      </c>
      <c r="G162">
        <v>4</v>
      </c>
      <c r="H162">
        <v>15.13</v>
      </c>
      <c r="I162">
        <v>9.74</v>
      </c>
      <c r="J162">
        <f t="shared" si="6"/>
        <v>60.52</v>
      </c>
      <c r="K162">
        <f t="shared" si="7"/>
        <v>50.78</v>
      </c>
      <c r="L162">
        <f t="shared" si="8"/>
        <v>38.96</v>
      </c>
    </row>
    <row r="163" spans="1:12" x14ac:dyDescent="0.2">
      <c r="A163" t="s">
        <v>170</v>
      </c>
      <c r="B163" s="6">
        <v>45757</v>
      </c>
      <c r="C163" t="s">
        <v>512</v>
      </c>
      <c r="D163" t="s">
        <v>516</v>
      </c>
      <c r="E163" t="s">
        <v>519</v>
      </c>
      <c r="F163" t="s">
        <v>534</v>
      </c>
      <c r="G163">
        <v>5</v>
      </c>
      <c r="H163">
        <v>23.94</v>
      </c>
      <c r="I163">
        <v>15.74</v>
      </c>
      <c r="J163">
        <f t="shared" si="6"/>
        <v>119.7</v>
      </c>
      <c r="K163">
        <f t="shared" si="7"/>
        <v>103.96000000000001</v>
      </c>
      <c r="L163">
        <f t="shared" si="8"/>
        <v>78.7</v>
      </c>
    </row>
    <row r="164" spans="1:12" x14ac:dyDescent="0.2">
      <c r="A164" t="s">
        <v>171</v>
      </c>
      <c r="B164" s="6">
        <v>45727</v>
      </c>
      <c r="C164" t="s">
        <v>509</v>
      </c>
      <c r="D164" t="s">
        <v>514</v>
      </c>
      <c r="E164" t="s">
        <v>519</v>
      </c>
      <c r="F164" t="s">
        <v>524</v>
      </c>
      <c r="G164">
        <v>2</v>
      </c>
      <c r="H164">
        <v>25.79</v>
      </c>
      <c r="I164">
        <v>15.43</v>
      </c>
      <c r="J164">
        <f t="shared" si="6"/>
        <v>51.58</v>
      </c>
      <c r="K164">
        <f t="shared" si="7"/>
        <v>36.15</v>
      </c>
      <c r="L164">
        <f t="shared" si="8"/>
        <v>30.86</v>
      </c>
    </row>
    <row r="165" spans="1:12" x14ac:dyDescent="0.2">
      <c r="A165" t="s">
        <v>172</v>
      </c>
      <c r="B165" s="6">
        <v>45659</v>
      </c>
      <c r="C165" t="s">
        <v>509</v>
      </c>
      <c r="D165" t="s">
        <v>514</v>
      </c>
      <c r="E165" t="s">
        <v>518</v>
      </c>
      <c r="F165" t="s">
        <v>536</v>
      </c>
      <c r="G165">
        <v>6</v>
      </c>
      <c r="H165">
        <v>20.9</v>
      </c>
      <c r="I165">
        <v>8.4600000000000009</v>
      </c>
      <c r="J165">
        <f t="shared" si="6"/>
        <v>125.39999999999999</v>
      </c>
      <c r="K165">
        <f t="shared" si="7"/>
        <v>116.94</v>
      </c>
      <c r="L165">
        <f t="shared" si="8"/>
        <v>50.760000000000005</v>
      </c>
    </row>
    <row r="166" spans="1:12" x14ac:dyDescent="0.2">
      <c r="A166" t="s">
        <v>173</v>
      </c>
      <c r="B166" s="6">
        <v>45674</v>
      </c>
      <c r="C166" t="s">
        <v>511</v>
      </c>
      <c r="D166" t="s">
        <v>516</v>
      </c>
      <c r="E166" t="s">
        <v>521</v>
      </c>
      <c r="F166" t="s">
        <v>527</v>
      </c>
      <c r="G166">
        <v>2</v>
      </c>
      <c r="H166">
        <v>22.82</v>
      </c>
      <c r="I166">
        <v>12.39</v>
      </c>
      <c r="J166">
        <f t="shared" si="6"/>
        <v>45.64</v>
      </c>
      <c r="K166">
        <f t="shared" si="7"/>
        <v>33.25</v>
      </c>
      <c r="L166">
        <f t="shared" si="8"/>
        <v>24.78</v>
      </c>
    </row>
    <row r="167" spans="1:12" x14ac:dyDescent="0.2">
      <c r="A167" t="s">
        <v>174</v>
      </c>
      <c r="B167" s="6">
        <v>45715</v>
      </c>
      <c r="C167" t="s">
        <v>510</v>
      </c>
      <c r="D167" t="s">
        <v>514</v>
      </c>
      <c r="E167" t="s">
        <v>521</v>
      </c>
      <c r="F167" t="s">
        <v>527</v>
      </c>
      <c r="G167">
        <v>1</v>
      </c>
      <c r="H167">
        <v>20.059999999999999</v>
      </c>
      <c r="I167">
        <v>12.4</v>
      </c>
      <c r="J167">
        <f t="shared" si="6"/>
        <v>20.059999999999999</v>
      </c>
      <c r="K167">
        <f t="shared" si="7"/>
        <v>7.6599999999999984</v>
      </c>
      <c r="L167">
        <f t="shared" si="8"/>
        <v>12.4</v>
      </c>
    </row>
    <row r="168" spans="1:12" x14ac:dyDescent="0.2">
      <c r="A168" t="s">
        <v>175</v>
      </c>
      <c r="B168" s="6">
        <v>45740</v>
      </c>
      <c r="C168" t="s">
        <v>513</v>
      </c>
      <c r="D168" t="s">
        <v>516</v>
      </c>
      <c r="E168" t="s">
        <v>521</v>
      </c>
      <c r="F168" t="s">
        <v>530</v>
      </c>
      <c r="G168">
        <v>8</v>
      </c>
      <c r="H168">
        <v>22.11</v>
      </c>
      <c r="I168">
        <v>14.46</v>
      </c>
      <c r="J168">
        <f t="shared" si="6"/>
        <v>176.88</v>
      </c>
      <c r="K168">
        <f t="shared" si="7"/>
        <v>162.41999999999999</v>
      </c>
      <c r="L168">
        <f t="shared" si="8"/>
        <v>115.68</v>
      </c>
    </row>
    <row r="169" spans="1:12" x14ac:dyDescent="0.2">
      <c r="A169" t="s">
        <v>176</v>
      </c>
      <c r="B169" s="6">
        <v>45720</v>
      </c>
      <c r="C169" t="s">
        <v>511</v>
      </c>
      <c r="D169" t="s">
        <v>516</v>
      </c>
      <c r="E169" t="s">
        <v>520</v>
      </c>
      <c r="F169" t="s">
        <v>525</v>
      </c>
      <c r="G169">
        <v>2</v>
      </c>
      <c r="H169">
        <v>69.48</v>
      </c>
      <c r="I169">
        <v>34.51</v>
      </c>
      <c r="J169">
        <f t="shared" si="6"/>
        <v>138.96</v>
      </c>
      <c r="K169">
        <f t="shared" si="7"/>
        <v>104.45000000000002</v>
      </c>
      <c r="L169">
        <f t="shared" si="8"/>
        <v>69.02</v>
      </c>
    </row>
    <row r="170" spans="1:12" x14ac:dyDescent="0.2">
      <c r="A170" t="s">
        <v>177</v>
      </c>
      <c r="B170" s="6">
        <v>45674</v>
      </c>
      <c r="C170" t="s">
        <v>509</v>
      </c>
      <c r="D170" t="s">
        <v>517</v>
      </c>
      <c r="E170" t="s">
        <v>519</v>
      </c>
      <c r="F170" t="s">
        <v>535</v>
      </c>
      <c r="G170">
        <v>7</v>
      </c>
      <c r="H170">
        <v>18.77</v>
      </c>
      <c r="I170">
        <v>13.11</v>
      </c>
      <c r="J170">
        <f t="shared" si="6"/>
        <v>131.38999999999999</v>
      </c>
      <c r="K170">
        <f t="shared" si="7"/>
        <v>118.27999999999999</v>
      </c>
      <c r="L170">
        <f t="shared" si="8"/>
        <v>91.77</v>
      </c>
    </row>
    <row r="171" spans="1:12" x14ac:dyDescent="0.2">
      <c r="A171" t="s">
        <v>178</v>
      </c>
      <c r="B171" s="6">
        <v>45722</v>
      </c>
      <c r="C171" t="s">
        <v>510</v>
      </c>
      <c r="D171" t="s">
        <v>515</v>
      </c>
      <c r="E171" t="s">
        <v>521</v>
      </c>
      <c r="F171" t="s">
        <v>530</v>
      </c>
      <c r="G171">
        <v>2</v>
      </c>
      <c r="H171">
        <v>14.23</v>
      </c>
      <c r="I171">
        <v>9.08</v>
      </c>
      <c r="J171">
        <f t="shared" si="6"/>
        <v>28.46</v>
      </c>
      <c r="K171">
        <f t="shared" si="7"/>
        <v>19.380000000000003</v>
      </c>
      <c r="L171">
        <f t="shared" si="8"/>
        <v>18.16</v>
      </c>
    </row>
    <row r="172" spans="1:12" x14ac:dyDescent="0.2">
      <c r="A172" t="s">
        <v>179</v>
      </c>
      <c r="B172" s="6">
        <v>45750</v>
      </c>
      <c r="C172" t="s">
        <v>512</v>
      </c>
      <c r="D172" t="s">
        <v>515</v>
      </c>
      <c r="E172" t="s">
        <v>518</v>
      </c>
      <c r="F172" t="s">
        <v>523</v>
      </c>
      <c r="G172">
        <v>8</v>
      </c>
      <c r="H172">
        <v>20.55</v>
      </c>
      <c r="I172">
        <v>13.7</v>
      </c>
      <c r="J172">
        <f t="shared" si="6"/>
        <v>164.4</v>
      </c>
      <c r="K172">
        <f t="shared" si="7"/>
        <v>150.70000000000002</v>
      </c>
      <c r="L172">
        <f t="shared" si="8"/>
        <v>109.6</v>
      </c>
    </row>
    <row r="173" spans="1:12" x14ac:dyDescent="0.2">
      <c r="A173" t="s">
        <v>180</v>
      </c>
      <c r="B173" s="6">
        <v>45763</v>
      </c>
      <c r="C173" t="s">
        <v>511</v>
      </c>
      <c r="D173" t="s">
        <v>515</v>
      </c>
      <c r="E173" t="s">
        <v>520</v>
      </c>
      <c r="F173" t="s">
        <v>531</v>
      </c>
      <c r="G173">
        <v>7</v>
      </c>
      <c r="H173">
        <v>55.92</v>
      </c>
      <c r="I173">
        <v>34.61</v>
      </c>
      <c r="J173">
        <f t="shared" si="6"/>
        <v>391.44</v>
      </c>
      <c r="K173">
        <f t="shared" si="7"/>
        <v>356.83</v>
      </c>
      <c r="L173">
        <f t="shared" si="8"/>
        <v>242.26999999999998</v>
      </c>
    </row>
    <row r="174" spans="1:12" x14ac:dyDescent="0.2">
      <c r="A174" t="s">
        <v>181</v>
      </c>
      <c r="B174" s="6">
        <v>45698</v>
      </c>
      <c r="C174" t="s">
        <v>509</v>
      </c>
      <c r="D174" t="s">
        <v>517</v>
      </c>
      <c r="E174" t="s">
        <v>521</v>
      </c>
      <c r="F174" t="s">
        <v>530</v>
      </c>
      <c r="G174">
        <v>3</v>
      </c>
      <c r="H174">
        <v>17.61</v>
      </c>
      <c r="I174">
        <v>10.67</v>
      </c>
      <c r="J174">
        <f t="shared" si="6"/>
        <v>52.83</v>
      </c>
      <c r="K174">
        <f t="shared" si="7"/>
        <v>42.16</v>
      </c>
      <c r="L174">
        <f t="shared" si="8"/>
        <v>32.01</v>
      </c>
    </row>
    <row r="175" spans="1:12" x14ac:dyDescent="0.2">
      <c r="A175" t="s">
        <v>182</v>
      </c>
      <c r="B175" s="6">
        <v>45669</v>
      </c>
      <c r="C175" t="s">
        <v>513</v>
      </c>
      <c r="D175" t="s">
        <v>516</v>
      </c>
      <c r="E175" t="s">
        <v>520</v>
      </c>
      <c r="F175" t="s">
        <v>525</v>
      </c>
      <c r="G175">
        <v>7</v>
      </c>
      <c r="H175">
        <v>61.71</v>
      </c>
      <c r="I175">
        <v>26.47</v>
      </c>
      <c r="J175">
        <f t="shared" si="6"/>
        <v>431.97</v>
      </c>
      <c r="K175">
        <f t="shared" si="7"/>
        <v>405.5</v>
      </c>
      <c r="L175">
        <f t="shared" si="8"/>
        <v>185.29</v>
      </c>
    </row>
    <row r="176" spans="1:12" x14ac:dyDescent="0.2">
      <c r="A176" t="s">
        <v>183</v>
      </c>
      <c r="B176" s="6">
        <v>45729</v>
      </c>
      <c r="C176" t="s">
        <v>513</v>
      </c>
      <c r="D176" t="s">
        <v>517</v>
      </c>
      <c r="E176" t="s">
        <v>521</v>
      </c>
      <c r="F176" t="s">
        <v>529</v>
      </c>
      <c r="G176">
        <v>2</v>
      </c>
      <c r="H176">
        <v>19.38</v>
      </c>
      <c r="I176">
        <v>10.14</v>
      </c>
      <c r="J176">
        <f t="shared" si="6"/>
        <v>38.76</v>
      </c>
      <c r="K176">
        <f t="shared" si="7"/>
        <v>28.619999999999997</v>
      </c>
      <c r="L176">
        <f t="shared" si="8"/>
        <v>20.28</v>
      </c>
    </row>
    <row r="177" spans="1:12" x14ac:dyDescent="0.2">
      <c r="A177" t="s">
        <v>184</v>
      </c>
      <c r="B177" s="6">
        <v>45694</v>
      </c>
      <c r="C177" t="s">
        <v>510</v>
      </c>
      <c r="D177" t="s">
        <v>517</v>
      </c>
      <c r="E177" t="s">
        <v>520</v>
      </c>
      <c r="F177" t="s">
        <v>525</v>
      </c>
      <c r="G177">
        <v>6</v>
      </c>
      <c r="H177">
        <v>64.14</v>
      </c>
      <c r="I177">
        <v>27.65</v>
      </c>
      <c r="J177">
        <f t="shared" si="6"/>
        <v>384.84000000000003</v>
      </c>
      <c r="K177">
        <f t="shared" si="7"/>
        <v>357.19000000000005</v>
      </c>
      <c r="L177">
        <f t="shared" si="8"/>
        <v>165.89999999999998</v>
      </c>
    </row>
    <row r="178" spans="1:12" x14ac:dyDescent="0.2">
      <c r="A178" t="s">
        <v>185</v>
      </c>
      <c r="B178" s="6">
        <v>45742</v>
      </c>
      <c r="C178" t="s">
        <v>511</v>
      </c>
      <c r="D178" t="s">
        <v>514</v>
      </c>
      <c r="E178" t="s">
        <v>519</v>
      </c>
      <c r="F178" t="s">
        <v>524</v>
      </c>
      <c r="G178">
        <v>2</v>
      </c>
      <c r="H178">
        <v>20.07</v>
      </c>
      <c r="I178">
        <v>10.14</v>
      </c>
      <c r="J178">
        <f t="shared" si="6"/>
        <v>40.14</v>
      </c>
      <c r="K178">
        <f t="shared" si="7"/>
        <v>30</v>
      </c>
      <c r="L178">
        <f t="shared" si="8"/>
        <v>20.28</v>
      </c>
    </row>
    <row r="179" spans="1:12" x14ac:dyDescent="0.2">
      <c r="A179" t="s">
        <v>186</v>
      </c>
      <c r="B179" s="6">
        <v>45755</v>
      </c>
      <c r="C179" t="s">
        <v>509</v>
      </c>
      <c r="D179" t="s">
        <v>514</v>
      </c>
      <c r="E179" t="s">
        <v>521</v>
      </c>
      <c r="F179" t="s">
        <v>527</v>
      </c>
      <c r="G179">
        <v>7</v>
      </c>
      <c r="H179">
        <v>25.27</v>
      </c>
      <c r="I179">
        <v>16.52</v>
      </c>
      <c r="J179">
        <f t="shared" si="6"/>
        <v>176.89</v>
      </c>
      <c r="K179">
        <f t="shared" si="7"/>
        <v>160.36999999999998</v>
      </c>
      <c r="L179">
        <f t="shared" si="8"/>
        <v>115.64</v>
      </c>
    </row>
    <row r="180" spans="1:12" x14ac:dyDescent="0.2">
      <c r="A180" t="s">
        <v>187</v>
      </c>
      <c r="B180" s="6">
        <v>45776</v>
      </c>
      <c r="C180" t="s">
        <v>509</v>
      </c>
      <c r="D180" t="s">
        <v>516</v>
      </c>
      <c r="E180" t="s">
        <v>518</v>
      </c>
      <c r="F180" t="s">
        <v>523</v>
      </c>
      <c r="G180">
        <v>3</v>
      </c>
      <c r="H180">
        <v>23.68</v>
      </c>
      <c r="I180">
        <v>11.41</v>
      </c>
      <c r="J180">
        <f t="shared" si="6"/>
        <v>71.039999999999992</v>
      </c>
      <c r="K180">
        <f t="shared" si="7"/>
        <v>59.629999999999995</v>
      </c>
      <c r="L180">
        <f t="shared" si="8"/>
        <v>34.230000000000004</v>
      </c>
    </row>
    <row r="181" spans="1:12" x14ac:dyDescent="0.2">
      <c r="A181" t="s">
        <v>188</v>
      </c>
      <c r="B181" s="6">
        <v>45702</v>
      </c>
      <c r="C181" t="s">
        <v>513</v>
      </c>
      <c r="D181" t="s">
        <v>514</v>
      </c>
      <c r="E181" t="s">
        <v>521</v>
      </c>
      <c r="F181" t="s">
        <v>528</v>
      </c>
      <c r="G181">
        <v>3</v>
      </c>
      <c r="H181">
        <v>31.6</v>
      </c>
      <c r="I181">
        <v>18.010000000000002</v>
      </c>
      <c r="J181">
        <f t="shared" si="6"/>
        <v>94.800000000000011</v>
      </c>
      <c r="K181">
        <f t="shared" si="7"/>
        <v>76.790000000000006</v>
      </c>
      <c r="L181">
        <f t="shared" si="8"/>
        <v>54.03</v>
      </c>
    </row>
    <row r="182" spans="1:12" x14ac:dyDescent="0.2">
      <c r="A182" t="s">
        <v>189</v>
      </c>
      <c r="B182" s="6">
        <v>45676</v>
      </c>
      <c r="C182" t="s">
        <v>513</v>
      </c>
      <c r="D182" t="s">
        <v>516</v>
      </c>
      <c r="E182" t="s">
        <v>520</v>
      </c>
      <c r="F182" t="s">
        <v>525</v>
      </c>
      <c r="G182">
        <v>4</v>
      </c>
      <c r="H182">
        <v>63.13</v>
      </c>
      <c r="I182">
        <v>32.380000000000003</v>
      </c>
      <c r="J182">
        <f t="shared" si="6"/>
        <v>252.52</v>
      </c>
      <c r="K182">
        <f t="shared" si="7"/>
        <v>220.14000000000001</v>
      </c>
      <c r="L182">
        <f t="shared" si="8"/>
        <v>129.52000000000001</v>
      </c>
    </row>
    <row r="183" spans="1:12" x14ac:dyDescent="0.2">
      <c r="A183" t="s">
        <v>190</v>
      </c>
      <c r="B183" s="6">
        <v>45678</v>
      </c>
      <c r="C183" t="s">
        <v>509</v>
      </c>
      <c r="D183" t="s">
        <v>517</v>
      </c>
      <c r="E183" t="s">
        <v>520</v>
      </c>
      <c r="F183" t="s">
        <v>531</v>
      </c>
      <c r="G183">
        <v>6</v>
      </c>
      <c r="H183">
        <v>55.71</v>
      </c>
      <c r="I183">
        <v>35.270000000000003</v>
      </c>
      <c r="J183">
        <f t="shared" si="6"/>
        <v>334.26</v>
      </c>
      <c r="K183">
        <f t="shared" si="7"/>
        <v>298.99</v>
      </c>
      <c r="L183">
        <f t="shared" si="8"/>
        <v>211.62</v>
      </c>
    </row>
    <row r="184" spans="1:12" x14ac:dyDescent="0.2">
      <c r="A184" t="s">
        <v>191</v>
      </c>
      <c r="B184" s="6">
        <v>45677</v>
      </c>
      <c r="C184" t="s">
        <v>512</v>
      </c>
      <c r="D184" t="s">
        <v>516</v>
      </c>
      <c r="E184" t="s">
        <v>518</v>
      </c>
      <c r="F184" t="s">
        <v>522</v>
      </c>
      <c r="G184">
        <v>2</v>
      </c>
      <c r="H184">
        <v>19.649999999999999</v>
      </c>
      <c r="I184">
        <v>9.4600000000000009</v>
      </c>
      <c r="J184">
        <f t="shared" si="6"/>
        <v>39.299999999999997</v>
      </c>
      <c r="K184">
        <f t="shared" si="7"/>
        <v>29.839999999999996</v>
      </c>
      <c r="L184">
        <f t="shared" si="8"/>
        <v>18.920000000000002</v>
      </c>
    </row>
    <row r="185" spans="1:12" x14ac:dyDescent="0.2">
      <c r="A185" t="s">
        <v>192</v>
      </c>
      <c r="B185" s="6">
        <v>45735</v>
      </c>
      <c r="C185" t="s">
        <v>511</v>
      </c>
      <c r="D185" t="s">
        <v>515</v>
      </c>
      <c r="E185" t="s">
        <v>520</v>
      </c>
      <c r="F185" t="s">
        <v>531</v>
      </c>
      <c r="G185">
        <v>5</v>
      </c>
      <c r="H185">
        <v>62.41</v>
      </c>
      <c r="I185">
        <v>29</v>
      </c>
      <c r="J185">
        <f t="shared" si="6"/>
        <v>312.04999999999995</v>
      </c>
      <c r="K185">
        <f t="shared" si="7"/>
        <v>283.04999999999995</v>
      </c>
      <c r="L185">
        <f t="shared" si="8"/>
        <v>145</v>
      </c>
    </row>
    <row r="186" spans="1:12" x14ac:dyDescent="0.2">
      <c r="A186" t="s">
        <v>193</v>
      </c>
      <c r="B186" s="6">
        <v>45713</v>
      </c>
      <c r="C186" t="s">
        <v>513</v>
      </c>
      <c r="D186" t="s">
        <v>517</v>
      </c>
      <c r="E186" t="s">
        <v>518</v>
      </c>
      <c r="F186" t="s">
        <v>533</v>
      </c>
      <c r="G186">
        <v>8</v>
      </c>
      <c r="H186">
        <v>23.88</v>
      </c>
      <c r="I186">
        <v>13.33</v>
      </c>
      <c r="J186">
        <f t="shared" si="6"/>
        <v>191.04</v>
      </c>
      <c r="K186">
        <f t="shared" si="7"/>
        <v>177.70999999999998</v>
      </c>
      <c r="L186">
        <f t="shared" si="8"/>
        <v>106.64</v>
      </c>
    </row>
    <row r="187" spans="1:12" x14ac:dyDescent="0.2">
      <c r="A187" t="s">
        <v>194</v>
      </c>
      <c r="B187" s="6">
        <v>45686</v>
      </c>
      <c r="C187" t="s">
        <v>511</v>
      </c>
      <c r="D187" t="s">
        <v>516</v>
      </c>
      <c r="E187" t="s">
        <v>521</v>
      </c>
      <c r="F187" t="s">
        <v>527</v>
      </c>
      <c r="G187">
        <v>1</v>
      </c>
      <c r="H187">
        <v>21.57</v>
      </c>
      <c r="I187">
        <v>9.9499999999999993</v>
      </c>
      <c r="J187">
        <f t="shared" si="6"/>
        <v>21.57</v>
      </c>
      <c r="K187">
        <f t="shared" si="7"/>
        <v>11.620000000000001</v>
      </c>
      <c r="L187">
        <f t="shared" si="8"/>
        <v>9.9499999999999993</v>
      </c>
    </row>
    <row r="188" spans="1:12" x14ac:dyDescent="0.2">
      <c r="A188" t="s">
        <v>195</v>
      </c>
      <c r="B188" s="6">
        <v>45755</v>
      </c>
      <c r="C188" t="s">
        <v>509</v>
      </c>
      <c r="D188" t="s">
        <v>517</v>
      </c>
      <c r="E188" t="s">
        <v>519</v>
      </c>
      <c r="F188" t="s">
        <v>524</v>
      </c>
      <c r="G188">
        <v>6</v>
      </c>
      <c r="H188">
        <v>22.37</v>
      </c>
      <c r="I188">
        <v>9.75</v>
      </c>
      <c r="J188">
        <f t="shared" si="6"/>
        <v>134.22</v>
      </c>
      <c r="K188">
        <f t="shared" si="7"/>
        <v>124.47</v>
      </c>
      <c r="L188">
        <f t="shared" si="8"/>
        <v>58.5</v>
      </c>
    </row>
    <row r="189" spans="1:12" x14ac:dyDescent="0.2">
      <c r="A189" t="s">
        <v>196</v>
      </c>
      <c r="B189" s="6">
        <v>45680</v>
      </c>
      <c r="C189" t="s">
        <v>512</v>
      </c>
      <c r="D189" t="s">
        <v>515</v>
      </c>
      <c r="E189" t="s">
        <v>520</v>
      </c>
      <c r="F189" t="s">
        <v>531</v>
      </c>
      <c r="G189">
        <v>4</v>
      </c>
      <c r="H189">
        <v>59.64</v>
      </c>
      <c r="I189">
        <v>32.81</v>
      </c>
      <c r="J189">
        <f t="shared" si="6"/>
        <v>238.56</v>
      </c>
      <c r="K189">
        <f t="shared" si="7"/>
        <v>205.75</v>
      </c>
      <c r="L189">
        <f t="shared" si="8"/>
        <v>131.24</v>
      </c>
    </row>
    <row r="190" spans="1:12" x14ac:dyDescent="0.2">
      <c r="A190" t="s">
        <v>197</v>
      </c>
      <c r="B190" s="6">
        <v>45708</v>
      </c>
      <c r="C190" t="s">
        <v>513</v>
      </c>
      <c r="D190" t="s">
        <v>515</v>
      </c>
      <c r="E190" t="s">
        <v>521</v>
      </c>
      <c r="F190" t="s">
        <v>527</v>
      </c>
      <c r="G190">
        <v>1</v>
      </c>
      <c r="H190">
        <v>13.77</v>
      </c>
      <c r="I190">
        <v>7.41</v>
      </c>
      <c r="J190">
        <f t="shared" si="6"/>
        <v>13.77</v>
      </c>
      <c r="K190">
        <f t="shared" si="7"/>
        <v>6.3599999999999994</v>
      </c>
      <c r="L190">
        <f t="shared" si="8"/>
        <v>7.41</v>
      </c>
    </row>
    <row r="191" spans="1:12" x14ac:dyDescent="0.2">
      <c r="A191" t="s">
        <v>198</v>
      </c>
      <c r="B191" s="6">
        <v>45731</v>
      </c>
      <c r="C191" t="s">
        <v>511</v>
      </c>
      <c r="D191" t="s">
        <v>515</v>
      </c>
      <c r="E191" t="s">
        <v>518</v>
      </c>
      <c r="F191" t="s">
        <v>533</v>
      </c>
      <c r="G191">
        <v>7</v>
      </c>
      <c r="H191">
        <v>17.43</v>
      </c>
      <c r="I191">
        <v>8.49</v>
      </c>
      <c r="J191">
        <f t="shared" si="6"/>
        <v>122.00999999999999</v>
      </c>
      <c r="K191">
        <f t="shared" si="7"/>
        <v>113.52</v>
      </c>
      <c r="L191">
        <f t="shared" si="8"/>
        <v>59.43</v>
      </c>
    </row>
    <row r="192" spans="1:12" x14ac:dyDescent="0.2">
      <c r="A192" t="s">
        <v>199</v>
      </c>
      <c r="B192" s="6">
        <v>45699</v>
      </c>
      <c r="C192" t="s">
        <v>512</v>
      </c>
      <c r="D192" t="s">
        <v>515</v>
      </c>
      <c r="E192" t="s">
        <v>520</v>
      </c>
      <c r="F192" t="s">
        <v>525</v>
      </c>
      <c r="G192">
        <v>6</v>
      </c>
      <c r="H192">
        <v>57.77</v>
      </c>
      <c r="I192">
        <v>24.64</v>
      </c>
      <c r="J192">
        <f t="shared" si="6"/>
        <v>346.62</v>
      </c>
      <c r="K192">
        <f t="shared" si="7"/>
        <v>321.98</v>
      </c>
      <c r="L192">
        <f t="shared" si="8"/>
        <v>147.84</v>
      </c>
    </row>
    <row r="193" spans="1:12" x14ac:dyDescent="0.2">
      <c r="A193" t="s">
        <v>200</v>
      </c>
      <c r="B193" s="6">
        <v>45713</v>
      </c>
      <c r="C193" t="s">
        <v>510</v>
      </c>
      <c r="D193" t="s">
        <v>515</v>
      </c>
      <c r="E193" t="s">
        <v>518</v>
      </c>
      <c r="F193" t="s">
        <v>536</v>
      </c>
      <c r="G193">
        <v>2</v>
      </c>
      <c r="H193">
        <v>29.28</v>
      </c>
      <c r="I193">
        <v>15.19</v>
      </c>
      <c r="J193">
        <f t="shared" si="6"/>
        <v>58.56</v>
      </c>
      <c r="K193">
        <f t="shared" si="7"/>
        <v>43.370000000000005</v>
      </c>
      <c r="L193">
        <f t="shared" si="8"/>
        <v>30.38</v>
      </c>
    </row>
    <row r="194" spans="1:12" x14ac:dyDescent="0.2">
      <c r="A194" t="s">
        <v>201</v>
      </c>
      <c r="B194" s="6">
        <v>45686</v>
      </c>
      <c r="C194" t="s">
        <v>509</v>
      </c>
      <c r="D194" t="s">
        <v>514</v>
      </c>
      <c r="E194" t="s">
        <v>521</v>
      </c>
      <c r="F194" t="s">
        <v>528</v>
      </c>
      <c r="G194">
        <v>2</v>
      </c>
      <c r="H194">
        <v>19.07</v>
      </c>
      <c r="I194">
        <v>10.55</v>
      </c>
      <c r="J194">
        <f t="shared" ref="J194:J257" si="9">(G194*H194)</f>
        <v>38.14</v>
      </c>
      <c r="K194">
        <f t="shared" ref="K194:K257" si="10">(J194-I194)</f>
        <v>27.59</v>
      </c>
      <c r="L194">
        <f t="shared" si="8"/>
        <v>21.1</v>
      </c>
    </row>
    <row r="195" spans="1:12" x14ac:dyDescent="0.2">
      <c r="A195" t="s">
        <v>202</v>
      </c>
      <c r="B195" s="6">
        <v>45723</v>
      </c>
      <c r="C195" t="s">
        <v>512</v>
      </c>
      <c r="D195" t="s">
        <v>517</v>
      </c>
      <c r="E195" t="s">
        <v>518</v>
      </c>
      <c r="F195" t="s">
        <v>523</v>
      </c>
      <c r="G195">
        <v>6</v>
      </c>
      <c r="H195">
        <v>18.77</v>
      </c>
      <c r="I195">
        <v>11.6</v>
      </c>
      <c r="J195">
        <f t="shared" si="9"/>
        <v>112.62</v>
      </c>
      <c r="K195">
        <f t="shared" si="10"/>
        <v>101.02000000000001</v>
      </c>
      <c r="L195">
        <f t="shared" ref="L195:L258" si="11">(G195*I195)</f>
        <v>69.599999999999994</v>
      </c>
    </row>
    <row r="196" spans="1:12" x14ac:dyDescent="0.2">
      <c r="A196" t="s">
        <v>203</v>
      </c>
      <c r="B196" s="6">
        <v>45671</v>
      </c>
      <c r="C196" t="s">
        <v>512</v>
      </c>
      <c r="D196" t="s">
        <v>517</v>
      </c>
      <c r="E196" t="s">
        <v>519</v>
      </c>
      <c r="F196" t="s">
        <v>524</v>
      </c>
      <c r="G196">
        <v>4</v>
      </c>
      <c r="H196">
        <v>20.87</v>
      </c>
      <c r="I196">
        <v>9.43</v>
      </c>
      <c r="J196">
        <f t="shared" si="9"/>
        <v>83.48</v>
      </c>
      <c r="K196">
        <f t="shared" si="10"/>
        <v>74.050000000000011</v>
      </c>
      <c r="L196">
        <f t="shared" si="11"/>
        <v>37.72</v>
      </c>
    </row>
    <row r="197" spans="1:12" x14ac:dyDescent="0.2">
      <c r="A197" t="s">
        <v>204</v>
      </c>
      <c r="B197" s="6">
        <v>45680</v>
      </c>
      <c r="C197" t="s">
        <v>511</v>
      </c>
      <c r="D197" t="s">
        <v>515</v>
      </c>
      <c r="E197" t="s">
        <v>519</v>
      </c>
      <c r="F197" t="s">
        <v>535</v>
      </c>
      <c r="G197">
        <v>8</v>
      </c>
      <c r="H197">
        <v>21.93</v>
      </c>
      <c r="I197">
        <v>13.25</v>
      </c>
      <c r="J197">
        <f t="shared" si="9"/>
        <v>175.44</v>
      </c>
      <c r="K197">
        <f t="shared" si="10"/>
        <v>162.19</v>
      </c>
      <c r="L197">
        <f t="shared" si="11"/>
        <v>106</v>
      </c>
    </row>
    <row r="198" spans="1:12" x14ac:dyDescent="0.2">
      <c r="A198" t="s">
        <v>205</v>
      </c>
      <c r="B198" s="6">
        <v>45677</v>
      </c>
      <c r="C198" t="s">
        <v>511</v>
      </c>
      <c r="D198" t="s">
        <v>516</v>
      </c>
      <c r="E198" t="s">
        <v>521</v>
      </c>
      <c r="F198" t="s">
        <v>528</v>
      </c>
      <c r="G198">
        <v>8</v>
      </c>
      <c r="H198">
        <v>13.58</v>
      </c>
      <c r="I198">
        <v>7.23</v>
      </c>
      <c r="J198">
        <f t="shared" si="9"/>
        <v>108.64</v>
      </c>
      <c r="K198">
        <f t="shared" si="10"/>
        <v>101.41</v>
      </c>
      <c r="L198">
        <f t="shared" si="11"/>
        <v>57.84</v>
      </c>
    </row>
    <row r="199" spans="1:12" x14ac:dyDescent="0.2">
      <c r="A199" t="s">
        <v>206</v>
      </c>
      <c r="B199" s="6">
        <v>45733</v>
      </c>
      <c r="C199" t="s">
        <v>513</v>
      </c>
      <c r="D199" t="s">
        <v>517</v>
      </c>
      <c r="E199" t="s">
        <v>521</v>
      </c>
      <c r="F199" t="s">
        <v>528</v>
      </c>
      <c r="G199">
        <v>2</v>
      </c>
      <c r="H199">
        <v>18.77</v>
      </c>
      <c r="I199">
        <v>9.26</v>
      </c>
      <c r="J199">
        <f t="shared" si="9"/>
        <v>37.54</v>
      </c>
      <c r="K199">
        <f t="shared" si="10"/>
        <v>28.28</v>
      </c>
      <c r="L199">
        <f t="shared" si="11"/>
        <v>18.52</v>
      </c>
    </row>
    <row r="200" spans="1:12" x14ac:dyDescent="0.2">
      <c r="A200" t="s">
        <v>207</v>
      </c>
      <c r="B200" s="6">
        <v>45665</v>
      </c>
      <c r="C200" t="s">
        <v>509</v>
      </c>
      <c r="D200" t="s">
        <v>517</v>
      </c>
      <c r="E200" t="s">
        <v>520</v>
      </c>
      <c r="F200" t="s">
        <v>525</v>
      </c>
      <c r="G200">
        <v>2</v>
      </c>
      <c r="H200">
        <v>60.29</v>
      </c>
      <c r="I200">
        <v>35.78</v>
      </c>
      <c r="J200">
        <f t="shared" si="9"/>
        <v>120.58</v>
      </c>
      <c r="K200">
        <f t="shared" si="10"/>
        <v>84.8</v>
      </c>
      <c r="L200">
        <f t="shared" si="11"/>
        <v>71.56</v>
      </c>
    </row>
    <row r="201" spans="1:12" x14ac:dyDescent="0.2">
      <c r="A201" t="s">
        <v>208</v>
      </c>
      <c r="B201" s="6">
        <v>45734</v>
      </c>
      <c r="C201" t="s">
        <v>510</v>
      </c>
      <c r="D201" t="s">
        <v>515</v>
      </c>
      <c r="E201" t="s">
        <v>518</v>
      </c>
      <c r="F201" t="s">
        <v>523</v>
      </c>
      <c r="G201">
        <v>8</v>
      </c>
      <c r="H201">
        <v>19.29</v>
      </c>
      <c r="I201">
        <v>11.07</v>
      </c>
      <c r="J201">
        <f t="shared" si="9"/>
        <v>154.32</v>
      </c>
      <c r="K201">
        <f t="shared" si="10"/>
        <v>143.25</v>
      </c>
      <c r="L201">
        <f t="shared" si="11"/>
        <v>88.56</v>
      </c>
    </row>
    <row r="202" spans="1:12" x14ac:dyDescent="0.2">
      <c r="A202" t="s">
        <v>209</v>
      </c>
      <c r="B202" s="6">
        <v>45774</v>
      </c>
      <c r="C202" t="s">
        <v>510</v>
      </c>
      <c r="D202" t="s">
        <v>514</v>
      </c>
      <c r="E202" t="s">
        <v>518</v>
      </c>
      <c r="F202" t="s">
        <v>537</v>
      </c>
      <c r="G202">
        <v>6</v>
      </c>
      <c r="H202">
        <v>26.79</v>
      </c>
      <c r="I202">
        <v>15.58</v>
      </c>
      <c r="J202">
        <f t="shared" si="9"/>
        <v>160.74</v>
      </c>
      <c r="K202">
        <f t="shared" si="10"/>
        <v>145.16</v>
      </c>
      <c r="L202">
        <f t="shared" si="11"/>
        <v>93.48</v>
      </c>
    </row>
    <row r="203" spans="1:12" x14ac:dyDescent="0.2">
      <c r="A203" t="s">
        <v>210</v>
      </c>
      <c r="B203" s="6">
        <v>45715</v>
      </c>
      <c r="C203" t="s">
        <v>513</v>
      </c>
      <c r="D203" t="s">
        <v>517</v>
      </c>
      <c r="E203" t="s">
        <v>519</v>
      </c>
      <c r="F203" t="s">
        <v>535</v>
      </c>
      <c r="G203">
        <v>2</v>
      </c>
      <c r="H203">
        <v>22.8</v>
      </c>
      <c r="I203">
        <v>12.57</v>
      </c>
      <c r="J203">
        <f t="shared" si="9"/>
        <v>45.6</v>
      </c>
      <c r="K203">
        <f t="shared" si="10"/>
        <v>33.03</v>
      </c>
      <c r="L203">
        <f t="shared" si="11"/>
        <v>25.14</v>
      </c>
    </row>
    <row r="204" spans="1:12" x14ac:dyDescent="0.2">
      <c r="A204" t="s">
        <v>211</v>
      </c>
      <c r="B204" s="6">
        <v>45689</v>
      </c>
      <c r="C204" t="s">
        <v>511</v>
      </c>
      <c r="D204" t="s">
        <v>515</v>
      </c>
      <c r="E204" t="s">
        <v>519</v>
      </c>
      <c r="F204" t="s">
        <v>535</v>
      </c>
      <c r="G204">
        <v>3</v>
      </c>
      <c r="H204">
        <v>25.42</v>
      </c>
      <c r="I204">
        <v>12.94</v>
      </c>
      <c r="J204">
        <f t="shared" si="9"/>
        <v>76.260000000000005</v>
      </c>
      <c r="K204">
        <f t="shared" si="10"/>
        <v>63.320000000000007</v>
      </c>
      <c r="L204">
        <f t="shared" si="11"/>
        <v>38.82</v>
      </c>
    </row>
    <row r="205" spans="1:12" x14ac:dyDescent="0.2">
      <c r="A205" t="s">
        <v>212</v>
      </c>
      <c r="B205" s="6">
        <v>45710</v>
      </c>
      <c r="C205" t="s">
        <v>509</v>
      </c>
      <c r="D205" t="s">
        <v>516</v>
      </c>
      <c r="E205" t="s">
        <v>521</v>
      </c>
      <c r="F205" t="s">
        <v>530</v>
      </c>
      <c r="G205">
        <v>6</v>
      </c>
      <c r="H205">
        <v>23.27</v>
      </c>
      <c r="I205">
        <v>9.77</v>
      </c>
      <c r="J205">
        <f t="shared" si="9"/>
        <v>139.62</v>
      </c>
      <c r="K205">
        <f t="shared" si="10"/>
        <v>129.85</v>
      </c>
      <c r="L205">
        <f t="shared" si="11"/>
        <v>58.62</v>
      </c>
    </row>
    <row r="206" spans="1:12" x14ac:dyDescent="0.2">
      <c r="A206" t="s">
        <v>213</v>
      </c>
      <c r="B206" s="6">
        <v>45744</v>
      </c>
      <c r="C206" t="s">
        <v>511</v>
      </c>
      <c r="D206" t="s">
        <v>517</v>
      </c>
      <c r="E206" t="s">
        <v>518</v>
      </c>
      <c r="F206" t="s">
        <v>523</v>
      </c>
      <c r="G206">
        <v>5</v>
      </c>
      <c r="H206">
        <v>18.11</v>
      </c>
      <c r="I206">
        <v>11.18</v>
      </c>
      <c r="J206">
        <f t="shared" si="9"/>
        <v>90.55</v>
      </c>
      <c r="K206">
        <f t="shared" si="10"/>
        <v>79.37</v>
      </c>
      <c r="L206">
        <f t="shared" si="11"/>
        <v>55.9</v>
      </c>
    </row>
    <row r="207" spans="1:12" x14ac:dyDescent="0.2">
      <c r="A207" t="s">
        <v>214</v>
      </c>
      <c r="B207" s="6">
        <v>45668</v>
      </c>
      <c r="C207" t="s">
        <v>510</v>
      </c>
      <c r="D207" t="s">
        <v>514</v>
      </c>
      <c r="E207" t="s">
        <v>519</v>
      </c>
      <c r="F207" t="s">
        <v>534</v>
      </c>
      <c r="G207">
        <v>6</v>
      </c>
      <c r="H207">
        <v>15.31</v>
      </c>
      <c r="I207">
        <v>7.55</v>
      </c>
      <c r="J207">
        <f t="shared" si="9"/>
        <v>91.86</v>
      </c>
      <c r="K207">
        <f t="shared" si="10"/>
        <v>84.31</v>
      </c>
      <c r="L207">
        <f t="shared" si="11"/>
        <v>45.3</v>
      </c>
    </row>
    <row r="208" spans="1:12" x14ac:dyDescent="0.2">
      <c r="A208" t="s">
        <v>215</v>
      </c>
      <c r="B208" s="6">
        <v>45734</v>
      </c>
      <c r="C208" t="s">
        <v>513</v>
      </c>
      <c r="D208" t="s">
        <v>517</v>
      </c>
      <c r="E208" t="s">
        <v>520</v>
      </c>
      <c r="F208" t="s">
        <v>525</v>
      </c>
      <c r="G208">
        <v>7</v>
      </c>
      <c r="H208">
        <v>62.58</v>
      </c>
      <c r="I208">
        <v>37.11</v>
      </c>
      <c r="J208">
        <f t="shared" si="9"/>
        <v>438.06</v>
      </c>
      <c r="K208">
        <f t="shared" si="10"/>
        <v>400.95</v>
      </c>
      <c r="L208">
        <f t="shared" si="11"/>
        <v>259.77</v>
      </c>
    </row>
    <row r="209" spans="1:12" x14ac:dyDescent="0.2">
      <c r="A209" t="s">
        <v>216</v>
      </c>
      <c r="B209" s="6">
        <v>45743</v>
      </c>
      <c r="C209" t="s">
        <v>510</v>
      </c>
      <c r="D209" t="s">
        <v>516</v>
      </c>
      <c r="E209" t="s">
        <v>521</v>
      </c>
      <c r="F209" t="s">
        <v>529</v>
      </c>
      <c r="G209">
        <v>7</v>
      </c>
      <c r="H209">
        <v>20.57</v>
      </c>
      <c r="I209">
        <v>11.37</v>
      </c>
      <c r="J209">
        <f t="shared" si="9"/>
        <v>143.99</v>
      </c>
      <c r="K209">
        <f t="shared" si="10"/>
        <v>132.62</v>
      </c>
      <c r="L209">
        <f t="shared" si="11"/>
        <v>79.589999999999989</v>
      </c>
    </row>
    <row r="210" spans="1:12" x14ac:dyDescent="0.2">
      <c r="A210" t="s">
        <v>217</v>
      </c>
      <c r="B210" s="6">
        <v>45697</v>
      </c>
      <c r="C210" t="s">
        <v>512</v>
      </c>
      <c r="D210" t="s">
        <v>514</v>
      </c>
      <c r="E210" t="s">
        <v>518</v>
      </c>
      <c r="F210" t="s">
        <v>533</v>
      </c>
      <c r="G210">
        <v>6</v>
      </c>
      <c r="H210">
        <v>27.58</v>
      </c>
      <c r="I210">
        <v>18.87</v>
      </c>
      <c r="J210">
        <f t="shared" si="9"/>
        <v>165.48</v>
      </c>
      <c r="K210">
        <f t="shared" si="10"/>
        <v>146.60999999999999</v>
      </c>
      <c r="L210">
        <f t="shared" si="11"/>
        <v>113.22</v>
      </c>
    </row>
    <row r="211" spans="1:12" x14ac:dyDescent="0.2">
      <c r="A211" t="s">
        <v>218</v>
      </c>
      <c r="B211" s="6">
        <v>45686</v>
      </c>
      <c r="C211" t="s">
        <v>512</v>
      </c>
      <c r="D211" t="s">
        <v>514</v>
      </c>
      <c r="E211" t="s">
        <v>520</v>
      </c>
      <c r="F211" t="s">
        <v>525</v>
      </c>
      <c r="G211">
        <v>2</v>
      </c>
      <c r="H211">
        <v>79.260000000000005</v>
      </c>
      <c r="I211">
        <v>38.74</v>
      </c>
      <c r="J211">
        <f t="shared" si="9"/>
        <v>158.52000000000001</v>
      </c>
      <c r="K211">
        <f t="shared" si="10"/>
        <v>119.78</v>
      </c>
      <c r="L211">
        <f t="shared" si="11"/>
        <v>77.48</v>
      </c>
    </row>
    <row r="212" spans="1:12" x14ac:dyDescent="0.2">
      <c r="A212" t="s">
        <v>219</v>
      </c>
      <c r="B212" s="6">
        <v>45756</v>
      </c>
      <c r="C212" t="s">
        <v>510</v>
      </c>
      <c r="D212" t="s">
        <v>516</v>
      </c>
      <c r="E212" t="s">
        <v>518</v>
      </c>
      <c r="F212" t="s">
        <v>523</v>
      </c>
      <c r="G212">
        <v>6</v>
      </c>
      <c r="H212">
        <v>27.85</v>
      </c>
      <c r="I212">
        <v>18.46</v>
      </c>
      <c r="J212">
        <f t="shared" si="9"/>
        <v>167.10000000000002</v>
      </c>
      <c r="K212">
        <f t="shared" si="10"/>
        <v>148.64000000000001</v>
      </c>
      <c r="L212">
        <f t="shared" si="11"/>
        <v>110.76</v>
      </c>
    </row>
    <row r="213" spans="1:12" x14ac:dyDescent="0.2">
      <c r="A213" t="s">
        <v>220</v>
      </c>
      <c r="B213" s="6">
        <v>45706</v>
      </c>
      <c r="C213" t="s">
        <v>512</v>
      </c>
      <c r="D213" t="s">
        <v>514</v>
      </c>
      <c r="E213" t="s">
        <v>519</v>
      </c>
      <c r="F213" t="s">
        <v>532</v>
      </c>
      <c r="G213">
        <v>3</v>
      </c>
      <c r="H213">
        <v>25.68</v>
      </c>
      <c r="I213">
        <v>16.68</v>
      </c>
      <c r="J213">
        <f t="shared" si="9"/>
        <v>77.039999999999992</v>
      </c>
      <c r="K213">
        <f t="shared" si="10"/>
        <v>60.359999999999992</v>
      </c>
      <c r="L213">
        <f t="shared" si="11"/>
        <v>50.04</v>
      </c>
    </row>
    <row r="214" spans="1:12" x14ac:dyDescent="0.2">
      <c r="A214" t="s">
        <v>221</v>
      </c>
      <c r="B214" s="6">
        <v>45663</v>
      </c>
      <c r="C214" t="s">
        <v>511</v>
      </c>
      <c r="D214" t="s">
        <v>517</v>
      </c>
      <c r="E214" t="s">
        <v>519</v>
      </c>
      <c r="F214" t="s">
        <v>526</v>
      </c>
      <c r="G214">
        <v>4</v>
      </c>
      <c r="H214">
        <v>24.77</v>
      </c>
      <c r="I214">
        <v>17.11</v>
      </c>
      <c r="J214">
        <f t="shared" si="9"/>
        <v>99.08</v>
      </c>
      <c r="K214">
        <f t="shared" si="10"/>
        <v>81.97</v>
      </c>
      <c r="L214">
        <f t="shared" si="11"/>
        <v>68.44</v>
      </c>
    </row>
    <row r="215" spans="1:12" x14ac:dyDescent="0.2">
      <c r="A215" t="s">
        <v>222</v>
      </c>
      <c r="B215" s="6">
        <v>45687</v>
      </c>
      <c r="C215" t="s">
        <v>510</v>
      </c>
      <c r="D215" t="s">
        <v>514</v>
      </c>
      <c r="E215" t="s">
        <v>521</v>
      </c>
      <c r="F215" t="s">
        <v>530</v>
      </c>
      <c r="G215">
        <v>5</v>
      </c>
      <c r="H215">
        <v>21.26</v>
      </c>
      <c r="I215">
        <v>14.66</v>
      </c>
      <c r="J215">
        <f t="shared" si="9"/>
        <v>106.30000000000001</v>
      </c>
      <c r="K215">
        <f t="shared" si="10"/>
        <v>91.640000000000015</v>
      </c>
      <c r="L215">
        <f t="shared" si="11"/>
        <v>73.3</v>
      </c>
    </row>
    <row r="216" spans="1:12" x14ac:dyDescent="0.2">
      <c r="A216" t="s">
        <v>223</v>
      </c>
      <c r="B216" s="6">
        <v>45705</v>
      </c>
      <c r="C216" t="s">
        <v>510</v>
      </c>
      <c r="D216" t="s">
        <v>515</v>
      </c>
      <c r="E216" t="s">
        <v>520</v>
      </c>
      <c r="F216" t="s">
        <v>525</v>
      </c>
      <c r="G216">
        <v>8</v>
      </c>
      <c r="H216">
        <v>58.42</v>
      </c>
      <c r="I216">
        <v>36.85</v>
      </c>
      <c r="J216">
        <f t="shared" si="9"/>
        <v>467.36</v>
      </c>
      <c r="K216">
        <f t="shared" si="10"/>
        <v>430.51</v>
      </c>
      <c r="L216">
        <f t="shared" si="11"/>
        <v>294.8</v>
      </c>
    </row>
    <row r="217" spans="1:12" x14ac:dyDescent="0.2">
      <c r="A217" t="s">
        <v>224</v>
      </c>
      <c r="B217" s="6">
        <v>45678</v>
      </c>
      <c r="C217" t="s">
        <v>512</v>
      </c>
      <c r="D217" t="s">
        <v>514</v>
      </c>
      <c r="E217" t="s">
        <v>520</v>
      </c>
      <c r="F217" t="s">
        <v>531</v>
      </c>
      <c r="G217">
        <v>5</v>
      </c>
      <c r="H217">
        <v>63.79</v>
      </c>
      <c r="I217">
        <v>26.51</v>
      </c>
      <c r="J217">
        <f t="shared" si="9"/>
        <v>318.95</v>
      </c>
      <c r="K217">
        <f t="shared" si="10"/>
        <v>292.44</v>
      </c>
      <c r="L217">
        <f t="shared" si="11"/>
        <v>132.55000000000001</v>
      </c>
    </row>
    <row r="218" spans="1:12" x14ac:dyDescent="0.2">
      <c r="A218" t="s">
        <v>225</v>
      </c>
      <c r="B218" s="6">
        <v>45728</v>
      </c>
      <c r="C218" t="s">
        <v>513</v>
      </c>
      <c r="D218" t="s">
        <v>516</v>
      </c>
      <c r="E218" t="s">
        <v>520</v>
      </c>
      <c r="F218" t="s">
        <v>531</v>
      </c>
      <c r="G218">
        <v>5</v>
      </c>
      <c r="H218">
        <v>56.14</v>
      </c>
      <c r="I218">
        <v>23.87</v>
      </c>
      <c r="J218">
        <f t="shared" si="9"/>
        <v>280.7</v>
      </c>
      <c r="K218">
        <f t="shared" si="10"/>
        <v>256.83</v>
      </c>
      <c r="L218">
        <f t="shared" si="11"/>
        <v>119.35000000000001</v>
      </c>
    </row>
    <row r="219" spans="1:12" x14ac:dyDescent="0.2">
      <c r="A219" t="s">
        <v>226</v>
      </c>
      <c r="B219" s="6">
        <v>45715</v>
      </c>
      <c r="C219" t="s">
        <v>510</v>
      </c>
      <c r="D219" t="s">
        <v>514</v>
      </c>
      <c r="E219" t="s">
        <v>519</v>
      </c>
      <c r="F219" t="s">
        <v>534</v>
      </c>
      <c r="G219">
        <v>7</v>
      </c>
      <c r="H219">
        <v>18.82</v>
      </c>
      <c r="I219">
        <v>8.0500000000000007</v>
      </c>
      <c r="J219">
        <f t="shared" si="9"/>
        <v>131.74</v>
      </c>
      <c r="K219">
        <f t="shared" si="10"/>
        <v>123.69000000000001</v>
      </c>
      <c r="L219">
        <f t="shared" si="11"/>
        <v>56.350000000000009</v>
      </c>
    </row>
    <row r="220" spans="1:12" x14ac:dyDescent="0.2">
      <c r="A220" t="s">
        <v>227</v>
      </c>
      <c r="B220" s="6">
        <v>45771</v>
      </c>
      <c r="C220" t="s">
        <v>509</v>
      </c>
      <c r="D220" t="s">
        <v>516</v>
      </c>
      <c r="E220" t="s">
        <v>519</v>
      </c>
      <c r="F220" t="s">
        <v>526</v>
      </c>
      <c r="G220">
        <v>7</v>
      </c>
      <c r="H220">
        <v>17.57</v>
      </c>
      <c r="I220">
        <v>7.31</v>
      </c>
      <c r="J220">
        <f t="shared" si="9"/>
        <v>122.99000000000001</v>
      </c>
      <c r="K220">
        <f t="shared" si="10"/>
        <v>115.68</v>
      </c>
      <c r="L220">
        <f t="shared" si="11"/>
        <v>51.169999999999995</v>
      </c>
    </row>
    <row r="221" spans="1:12" x14ac:dyDescent="0.2">
      <c r="A221" t="s">
        <v>228</v>
      </c>
      <c r="B221" s="6">
        <v>45707</v>
      </c>
      <c r="C221" t="s">
        <v>513</v>
      </c>
      <c r="D221" t="s">
        <v>517</v>
      </c>
      <c r="E221" t="s">
        <v>521</v>
      </c>
      <c r="F221" t="s">
        <v>529</v>
      </c>
      <c r="G221">
        <v>4</v>
      </c>
      <c r="H221">
        <v>18.41</v>
      </c>
      <c r="I221">
        <v>7.52</v>
      </c>
      <c r="J221">
        <f t="shared" si="9"/>
        <v>73.64</v>
      </c>
      <c r="K221">
        <f t="shared" si="10"/>
        <v>66.12</v>
      </c>
      <c r="L221">
        <f t="shared" si="11"/>
        <v>30.08</v>
      </c>
    </row>
    <row r="222" spans="1:12" x14ac:dyDescent="0.2">
      <c r="A222" t="s">
        <v>229</v>
      </c>
      <c r="B222" s="6">
        <v>45759</v>
      </c>
      <c r="C222" t="s">
        <v>512</v>
      </c>
      <c r="D222" t="s">
        <v>514</v>
      </c>
      <c r="E222" t="s">
        <v>518</v>
      </c>
      <c r="F222" t="s">
        <v>533</v>
      </c>
      <c r="G222">
        <v>1</v>
      </c>
      <c r="H222">
        <v>36.57</v>
      </c>
      <c r="I222">
        <v>17.78</v>
      </c>
      <c r="J222">
        <f t="shared" si="9"/>
        <v>36.57</v>
      </c>
      <c r="K222">
        <f t="shared" si="10"/>
        <v>18.79</v>
      </c>
      <c r="L222">
        <f t="shared" si="11"/>
        <v>17.78</v>
      </c>
    </row>
    <row r="223" spans="1:12" x14ac:dyDescent="0.2">
      <c r="A223" t="s">
        <v>230</v>
      </c>
      <c r="B223" s="6">
        <v>45755</v>
      </c>
      <c r="C223" t="s">
        <v>511</v>
      </c>
      <c r="D223" t="s">
        <v>515</v>
      </c>
      <c r="E223" t="s">
        <v>520</v>
      </c>
      <c r="F223" t="s">
        <v>525</v>
      </c>
      <c r="G223">
        <v>1</v>
      </c>
      <c r="H223">
        <v>50.66</v>
      </c>
      <c r="I223">
        <v>34.03</v>
      </c>
      <c r="J223">
        <f t="shared" si="9"/>
        <v>50.66</v>
      </c>
      <c r="K223">
        <f t="shared" si="10"/>
        <v>16.629999999999995</v>
      </c>
      <c r="L223">
        <f t="shared" si="11"/>
        <v>34.03</v>
      </c>
    </row>
    <row r="224" spans="1:12" x14ac:dyDescent="0.2">
      <c r="A224" t="s">
        <v>231</v>
      </c>
      <c r="B224" s="6">
        <v>45685</v>
      </c>
      <c r="C224" t="s">
        <v>512</v>
      </c>
      <c r="D224" t="s">
        <v>515</v>
      </c>
      <c r="E224" t="s">
        <v>518</v>
      </c>
      <c r="F224" t="s">
        <v>533</v>
      </c>
      <c r="G224">
        <v>2</v>
      </c>
      <c r="H224">
        <v>28.43</v>
      </c>
      <c r="I224">
        <v>17.989999999999998</v>
      </c>
      <c r="J224">
        <f t="shared" si="9"/>
        <v>56.86</v>
      </c>
      <c r="K224">
        <f t="shared" si="10"/>
        <v>38.870000000000005</v>
      </c>
      <c r="L224">
        <f t="shared" si="11"/>
        <v>35.979999999999997</v>
      </c>
    </row>
    <row r="225" spans="1:12" x14ac:dyDescent="0.2">
      <c r="A225" t="s">
        <v>232</v>
      </c>
      <c r="B225" s="6">
        <v>45673</v>
      </c>
      <c r="C225" t="s">
        <v>513</v>
      </c>
      <c r="D225" t="s">
        <v>514</v>
      </c>
      <c r="E225" t="s">
        <v>519</v>
      </c>
      <c r="F225" t="s">
        <v>534</v>
      </c>
      <c r="G225">
        <v>7</v>
      </c>
      <c r="H225">
        <v>11.94</v>
      </c>
      <c r="I225">
        <v>7.06</v>
      </c>
      <c r="J225">
        <f t="shared" si="9"/>
        <v>83.58</v>
      </c>
      <c r="K225">
        <f t="shared" si="10"/>
        <v>76.52</v>
      </c>
      <c r="L225">
        <f t="shared" si="11"/>
        <v>49.419999999999995</v>
      </c>
    </row>
    <row r="226" spans="1:12" x14ac:dyDescent="0.2">
      <c r="A226" t="s">
        <v>233</v>
      </c>
      <c r="B226" s="6">
        <v>45672</v>
      </c>
      <c r="C226" t="s">
        <v>511</v>
      </c>
      <c r="D226" t="s">
        <v>516</v>
      </c>
      <c r="E226" t="s">
        <v>520</v>
      </c>
      <c r="F226" t="s">
        <v>525</v>
      </c>
      <c r="G226">
        <v>4</v>
      </c>
      <c r="H226">
        <v>57.64</v>
      </c>
      <c r="I226">
        <v>35.479999999999997</v>
      </c>
      <c r="J226">
        <f t="shared" si="9"/>
        <v>230.56</v>
      </c>
      <c r="K226">
        <f t="shared" si="10"/>
        <v>195.08</v>
      </c>
      <c r="L226">
        <f t="shared" si="11"/>
        <v>141.91999999999999</v>
      </c>
    </row>
    <row r="227" spans="1:12" x14ac:dyDescent="0.2">
      <c r="A227" t="s">
        <v>234</v>
      </c>
      <c r="B227" s="6">
        <v>45658</v>
      </c>
      <c r="C227" t="s">
        <v>510</v>
      </c>
      <c r="D227" t="s">
        <v>517</v>
      </c>
      <c r="E227" t="s">
        <v>521</v>
      </c>
      <c r="F227" t="s">
        <v>530</v>
      </c>
      <c r="G227">
        <v>4</v>
      </c>
      <c r="H227">
        <v>23.44</v>
      </c>
      <c r="I227">
        <v>13.39</v>
      </c>
      <c r="J227">
        <f t="shared" si="9"/>
        <v>93.76</v>
      </c>
      <c r="K227">
        <f t="shared" si="10"/>
        <v>80.37</v>
      </c>
      <c r="L227">
        <f t="shared" si="11"/>
        <v>53.56</v>
      </c>
    </row>
    <row r="228" spans="1:12" x14ac:dyDescent="0.2">
      <c r="A228" t="s">
        <v>235</v>
      </c>
      <c r="B228" s="6">
        <v>45725</v>
      </c>
      <c r="C228" t="s">
        <v>509</v>
      </c>
      <c r="D228" t="s">
        <v>516</v>
      </c>
      <c r="E228" t="s">
        <v>519</v>
      </c>
      <c r="F228" t="s">
        <v>535</v>
      </c>
      <c r="G228">
        <v>1</v>
      </c>
      <c r="H228">
        <v>20.32</v>
      </c>
      <c r="I228">
        <v>10.51</v>
      </c>
      <c r="J228">
        <f t="shared" si="9"/>
        <v>20.32</v>
      </c>
      <c r="K228">
        <f t="shared" si="10"/>
        <v>9.81</v>
      </c>
      <c r="L228">
        <f t="shared" si="11"/>
        <v>10.51</v>
      </c>
    </row>
    <row r="229" spans="1:12" x14ac:dyDescent="0.2">
      <c r="A229" t="s">
        <v>236</v>
      </c>
      <c r="B229" s="6">
        <v>45739</v>
      </c>
      <c r="C229" t="s">
        <v>511</v>
      </c>
      <c r="D229" t="s">
        <v>517</v>
      </c>
      <c r="E229" t="s">
        <v>520</v>
      </c>
      <c r="F229" t="s">
        <v>525</v>
      </c>
      <c r="G229">
        <v>5</v>
      </c>
      <c r="H229">
        <v>54.61</v>
      </c>
      <c r="I229">
        <v>34.090000000000003</v>
      </c>
      <c r="J229">
        <f t="shared" si="9"/>
        <v>273.05</v>
      </c>
      <c r="K229">
        <f t="shared" si="10"/>
        <v>238.96</v>
      </c>
      <c r="L229">
        <f t="shared" si="11"/>
        <v>170.45000000000002</v>
      </c>
    </row>
    <row r="230" spans="1:12" x14ac:dyDescent="0.2">
      <c r="A230" t="s">
        <v>237</v>
      </c>
      <c r="B230" s="6">
        <v>45702</v>
      </c>
      <c r="C230" t="s">
        <v>512</v>
      </c>
      <c r="D230" t="s">
        <v>516</v>
      </c>
      <c r="E230" t="s">
        <v>521</v>
      </c>
      <c r="F230" t="s">
        <v>527</v>
      </c>
      <c r="G230">
        <v>6</v>
      </c>
      <c r="H230">
        <v>14.42</v>
      </c>
      <c r="I230">
        <v>6.35</v>
      </c>
      <c r="J230">
        <f t="shared" si="9"/>
        <v>86.52</v>
      </c>
      <c r="K230">
        <f t="shared" si="10"/>
        <v>80.17</v>
      </c>
      <c r="L230">
        <f t="shared" si="11"/>
        <v>38.099999999999994</v>
      </c>
    </row>
    <row r="231" spans="1:12" x14ac:dyDescent="0.2">
      <c r="A231" t="s">
        <v>238</v>
      </c>
      <c r="B231" s="6">
        <v>45762</v>
      </c>
      <c r="C231" t="s">
        <v>512</v>
      </c>
      <c r="D231" t="s">
        <v>515</v>
      </c>
      <c r="E231" t="s">
        <v>521</v>
      </c>
      <c r="F231" t="s">
        <v>528</v>
      </c>
      <c r="G231">
        <v>8</v>
      </c>
      <c r="H231">
        <v>21.4</v>
      </c>
      <c r="I231">
        <v>12.62</v>
      </c>
      <c r="J231">
        <f t="shared" si="9"/>
        <v>171.2</v>
      </c>
      <c r="K231">
        <f t="shared" si="10"/>
        <v>158.57999999999998</v>
      </c>
      <c r="L231">
        <f t="shared" si="11"/>
        <v>100.96</v>
      </c>
    </row>
    <row r="232" spans="1:12" x14ac:dyDescent="0.2">
      <c r="A232" t="s">
        <v>239</v>
      </c>
      <c r="B232" s="6">
        <v>45749</v>
      </c>
      <c r="C232" t="s">
        <v>511</v>
      </c>
      <c r="D232" t="s">
        <v>516</v>
      </c>
      <c r="E232" t="s">
        <v>519</v>
      </c>
      <c r="F232" t="s">
        <v>535</v>
      </c>
      <c r="G232">
        <v>5</v>
      </c>
      <c r="H232">
        <v>16.350000000000001</v>
      </c>
      <c r="I232">
        <v>7.53</v>
      </c>
      <c r="J232">
        <f t="shared" si="9"/>
        <v>81.75</v>
      </c>
      <c r="K232">
        <f t="shared" si="10"/>
        <v>74.22</v>
      </c>
      <c r="L232">
        <f t="shared" si="11"/>
        <v>37.65</v>
      </c>
    </row>
    <row r="233" spans="1:12" x14ac:dyDescent="0.2">
      <c r="A233" t="s">
        <v>240</v>
      </c>
      <c r="B233" s="6">
        <v>45698</v>
      </c>
      <c r="C233" t="s">
        <v>509</v>
      </c>
      <c r="D233" t="s">
        <v>515</v>
      </c>
      <c r="E233" t="s">
        <v>519</v>
      </c>
      <c r="F233" t="s">
        <v>535</v>
      </c>
      <c r="G233">
        <v>8</v>
      </c>
      <c r="H233">
        <v>21.08</v>
      </c>
      <c r="I233">
        <v>10.029999999999999</v>
      </c>
      <c r="J233">
        <f t="shared" si="9"/>
        <v>168.64</v>
      </c>
      <c r="K233">
        <f t="shared" si="10"/>
        <v>158.60999999999999</v>
      </c>
      <c r="L233">
        <f t="shared" si="11"/>
        <v>80.239999999999995</v>
      </c>
    </row>
    <row r="234" spans="1:12" x14ac:dyDescent="0.2">
      <c r="A234" t="s">
        <v>241</v>
      </c>
      <c r="B234" s="6">
        <v>45703</v>
      </c>
      <c r="C234" t="s">
        <v>513</v>
      </c>
      <c r="D234" t="s">
        <v>517</v>
      </c>
      <c r="E234" t="s">
        <v>519</v>
      </c>
      <c r="F234" t="s">
        <v>534</v>
      </c>
      <c r="G234">
        <v>5</v>
      </c>
      <c r="H234">
        <v>20.23</v>
      </c>
      <c r="I234">
        <v>8.85</v>
      </c>
      <c r="J234">
        <f t="shared" si="9"/>
        <v>101.15</v>
      </c>
      <c r="K234">
        <f t="shared" si="10"/>
        <v>92.300000000000011</v>
      </c>
      <c r="L234">
        <f t="shared" si="11"/>
        <v>44.25</v>
      </c>
    </row>
    <row r="235" spans="1:12" x14ac:dyDescent="0.2">
      <c r="A235" t="s">
        <v>242</v>
      </c>
      <c r="B235" s="6">
        <v>45771</v>
      </c>
      <c r="C235" t="s">
        <v>511</v>
      </c>
      <c r="D235" t="s">
        <v>515</v>
      </c>
      <c r="E235" t="s">
        <v>521</v>
      </c>
      <c r="F235" t="s">
        <v>530</v>
      </c>
      <c r="G235">
        <v>7</v>
      </c>
      <c r="H235">
        <v>14.74</v>
      </c>
      <c r="I235">
        <v>7.4</v>
      </c>
      <c r="J235">
        <f t="shared" si="9"/>
        <v>103.18</v>
      </c>
      <c r="K235">
        <f t="shared" si="10"/>
        <v>95.78</v>
      </c>
      <c r="L235">
        <f t="shared" si="11"/>
        <v>51.800000000000004</v>
      </c>
    </row>
    <row r="236" spans="1:12" x14ac:dyDescent="0.2">
      <c r="A236" t="s">
        <v>243</v>
      </c>
      <c r="B236" s="6">
        <v>45746</v>
      </c>
      <c r="C236" t="s">
        <v>511</v>
      </c>
      <c r="D236" t="s">
        <v>517</v>
      </c>
      <c r="E236" t="s">
        <v>519</v>
      </c>
      <c r="F236" t="s">
        <v>526</v>
      </c>
      <c r="G236">
        <v>5</v>
      </c>
      <c r="H236">
        <v>30.72</v>
      </c>
      <c r="I236">
        <v>19.670000000000002</v>
      </c>
      <c r="J236">
        <f t="shared" si="9"/>
        <v>153.6</v>
      </c>
      <c r="K236">
        <f t="shared" si="10"/>
        <v>133.93</v>
      </c>
      <c r="L236">
        <f t="shared" si="11"/>
        <v>98.350000000000009</v>
      </c>
    </row>
    <row r="237" spans="1:12" x14ac:dyDescent="0.2">
      <c r="A237" t="s">
        <v>244</v>
      </c>
      <c r="B237" s="6">
        <v>45713</v>
      </c>
      <c r="C237" t="s">
        <v>510</v>
      </c>
      <c r="D237" t="s">
        <v>514</v>
      </c>
      <c r="E237" t="s">
        <v>520</v>
      </c>
      <c r="F237" t="s">
        <v>525</v>
      </c>
      <c r="G237">
        <v>5</v>
      </c>
      <c r="H237">
        <v>63.17</v>
      </c>
      <c r="I237">
        <v>31.36</v>
      </c>
      <c r="J237">
        <f t="shared" si="9"/>
        <v>315.85000000000002</v>
      </c>
      <c r="K237">
        <f t="shared" si="10"/>
        <v>284.49</v>
      </c>
      <c r="L237">
        <f t="shared" si="11"/>
        <v>156.80000000000001</v>
      </c>
    </row>
    <row r="238" spans="1:12" x14ac:dyDescent="0.2">
      <c r="A238" t="s">
        <v>245</v>
      </c>
      <c r="B238" s="6">
        <v>45742</v>
      </c>
      <c r="C238" t="s">
        <v>509</v>
      </c>
      <c r="D238" t="s">
        <v>517</v>
      </c>
      <c r="E238" t="s">
        <v>518</v>
      </c>
      <c r="F238" t="s">
        <v>533</v>
      </c>
      <c r="G238">
        <v>8</v>
      </c>
      <c r="H238">
        <v>14.87</v>
      </c>
      <c r="I238">
        <v>8.64</v>
      </c>
      <c r="J238">
        <f t="shared" si="9"/>
        <v>118.96</v>
      </c>
      <c r="K238">
        <f t="shared" si="10"/>
        <v>110.32</v>
      </c>
      <c r="L238">
        <f t="shared" si="11"/>
        <v>69.12</v>
      </c>
    </row>
    <row r="239" spans="1:12" x14ac:dyDescent="0.2">
      <c r="A239" t="s">
        <v>246</v>
      </c>
      <c r="B239" s="6">
        <v>45746</v>
      </c>
      <c r="C239" t="s">
        <v>511</v>
      </c>
      <c r="D239" t="s">
        <v>517</v>
      </c>
      <c r="E239" t="s">
        <v>520</v>
      </c>
      <c r="F239" t="s">
        <v>525</v>
      </c>
      <c r="G239">
        <v>8</v>
      </c>
      <c r="H239">
        <v>60.93</v>
      </c>
      <c r="I239">
        <v>25.15</v>
      </c>
      <c r="J239">
        <f t="shared" si="9"/>
        <v>487.44</v>
      </c>
      <c r="K239">
        <f t="shared" si="10"/>
        <v>462.29</v>
      </c>
      <c r="L239">
        <f t="shared" si="11"/>
        <v>201.2</v>
      </c>
    </row>
    <row r="240" spans="1:12" x14ac:dyDescent="0.2">
      <c r="A240" t="s">
        <v>247</v>
      </c>
      <c r="B240" s="6">
        <v>45693</v>
      </c>
      <c r="C240" t="s">
        <v>513</v>
      </c>
      <c r="D240" t="s">
        <v>516</v>
      </c>
      <c r="E240" t="s">
        <v>521</v>
      </c>
      <c r="F240" t="s">
        <v>530</v>
      </c>
      <c r="G240">
        <v>7</v>
      </c>
      <c r="H240">
        <v>14.69</v>
      </c>
      <c r="I240">
        <v>7.48</v>
      </c>
      <c r="J240">
        <f t="shared" si="9"/>
        <v>102.83</v>
      </c>
      <c r="K240">
        <f t="shared" si="10"/>
        <v>95.35</v>
      </c>
      <c r="L240">
        <f t="shared" si="11"/>
        <v>52.36</v>
      </c>
    </row>
    <row r="241" spans="1:12" x14ac:dyDescent="0.2">
      <c r="A241" t="s">
        <v>248</v>
      </c>
      <c r="B241" s="6">
        <v>45676</v>
      </c>
      <c r="C241" t="s">
        <v>510</v>
      </c>
      <c r="D241" t="s">
        <v>515</v>
      </c>
      <c r="E241" t="s">
        <v>519</v>
      </c>
      <c r="F241" t="s">
        <v>535</v>
      </c>
      <c r="G241">
        <v>1</v>
      </c>
      <c r="H241">
        <v>24.26</v>
      </c>
      <c r="I241">
        <v>10.62</v>
      </c>
      <c r="J241">
        <f t="shared" si="9"/>
        <v>24.26</v>
      </c>
      <c r="K241">
        <f t="shared" si="10"/>
        <v>13.640000000000002</v>
      </c>
      <c r="L241">
        <f t="shared" si="11"/>
        <v>10.62</v>
      </c>
    </row>
    <row r="242" spans="1:12" x14ac:dyDescent="0.2">
      <c r="A242" t="s">
        <v>249</v>
      </c>
      <c r="B242" s="6">
        <v>45704</v>
      </c>
      <c r="C242" t="s">
        <v>511</v>
      </c>
      <c r="D242" t="s">
        <v>516</v>
      </c>
      <c r="E242" t="s">
        <v>519</v>
      </c>
      <c r="F242" t="s">
        <v>534</v>
      </c>
      <c r="G242">
        <v>3</v>
      </c>
      <c r="H242">
        <v>16.04</v>
      </c>
      <c r="I242">
        <v>9.68</v>
      </c>
      <c r="J242">
        <f t="shared" si="9"/>
        <v>48.12</v>
      </c>
      <c r="K242">
        <f t="shared" si="10"/>
        <v>38.44</v>
      </c>
      <c r="L242">
        <f t="shared" si="11"/>
        <v>29.04</v>
      </c>
    </row>
    <row r="243" spans="1:12" x14ac:dyDescent="0.2">
      <c r="A243" t="s">
        <v>250</v>
      </c>
      <c r="B243" s="6">
        <v>45714</v>
      </c>
      <c r="C243" t="s">
        <v>513</v>
      </c>
      <c r="D243" t="s">
        <v>514</v>
      </c>
      <c r="E243" t="s">
        <v>521</v>
      </c>
      <c r="F243" t="s">
        <v>528</v>
      </c>
      <c r="G243">
        <v>6</v>
      </c>
      <c r="H243">
        <v>17.43</v>
      </c>
      <c r="I243">
        <v>9.0500000000000007</v>
      </c>
      <c r="J243">
        <f t="shared" si="9"/>
        <v>104.58</v>
      </c>
      <c r="K243">
        <f t="shared" si="10"/>
        <v>95.53</v>
      </c>
      <c r="L243">
        <f t="shared" si="11"/>
        <v>54.300000000000004</v>
      </c>
    </row>
    <row r="244" spans="1:12" x14ac:dyDescent="0.2">
      <c r="A244" t="s">
        <v>251</v>
      </c>
      <c r="B244" s="6">
        <v>45672</v>
      </c>
      <c r="C244" t="s">
        <v>513</v>
      </c>
      <c r="D244" t="s">
        <v>514</v>
      </c>
      <c r="E244" t="s">
        <v>521</v>
      </c>
      <c r="F244" t="s">
        <v>529</v>
      </c>
      <c r="G244">
        <v>8</v>
      </c>
      <c r="H244">
        <v>20.52</v>
      </c>
      <c r="I244">
        <v>11.4</v>
      </c>
      <c r="J244">
        <f t="shared" si="9"/>
        <v>164.16</v>
      </c>
      <c r="K244">
        <f t="shared" si="10"/>
        <v>152.76</v>
      </c>
      <c r="L244">
        <f t="shared" si="11"/>
        <v>91.2</v>
      </c>
    </row>
    <row r="245" spans="1:12" x14ac:dyDescent="0.2">
      <c r="A245" t="s">
        <v>252</v>
      </c>
      <c r="B245" s="6">
        <v>45757</v>
      </c>
      <c r="C245" t="s">
        <v>509</v>
      </c>
      <c r="D245" t="s">
        <v>515</v>
      </c>
      <c r="E245" t="s">
        <v>518</v>
      </c>
      <c r="F245" t="s">
        <v>533</v>
      </c>
      <c r="G245">
        <v>4</v>
      </c>
      <c r="H245">
        <v>29.33</v>
      </c>
      <c r="I245">
        <v>20.5</v>
      </c>
      <c r="J245">
        <f t="shared" si="9"/>
        <v>117.32</v>
      </c>
      <c r="K245">
        <f t="shared" si="10"/>
        <v>96.82</v>
      </c>
      <c r="L245">
        <f t="shared" si="11"/>
        <v>82</v>
      </c>
    </row>
    <row r="246" spans="1:12" x14ac:dyDescent="0.2">
      <c r="A246" t="s">
        <v>253</v>
      </c>
      <c r="B246" s="6">
        <v>45683</v>
      </c>
      <c r="C246" t="s">
        <v>513</v>
      </c>
      <c r="D246" t="s">
        <v>514</v>
      </c>
      <c r="E246" t="s">
        <v>521</v>
      </c>
      <c r="F246" t="s">
        <v>530</v>
      </c>
      <c r="G246">
        <v>2</v>
      </c>
      <c r="H246">
        <v>12</v>
      </c>
      <c r="I246">
        <v>6.43</v>
      </c>
      <c r="J246">
        <f t="shared" si="9"/>
        <v>24</v>
      </c>
      <c r="K246">
        <f t="shared" si="10"/>
        <v>17.57</v>
      </c>
      <c r="L246">
        <f t="shared" si="11"/>
        <v>12.86</v>
      </c>
    </row>
    <row r="247" spans="1:12" x14ac:dyDescent="0.2">
      <c r="A247" t="s">
        <v>254</v>
      </c>
      <c r="B247" s="6">
        <v>45761</v>
      </c>
      <c r="C247" t="s">
        <v>509</v>
      </c>
      <c r="D247" t="s">
        <v>517</v>
      </c>
      <c r="E247" t="s">
        <v>520</v>
      </c>
      <c r="F247" t="s">
        <v>525</v>
      </c>
      <c r="G247">
        <v>2</v>
      </c>
      <c r="H247">
        <v>58.33</v>
      </c>
      <c r="I247">
        <v>32.96</v>
      </c>
      <c r="J247">
        <f t="shared" si="9"/>
        <v>116.66</v>
      </c>
      <c r="K247">
        <f t="shared" si="10"/>
        <v>83.699999999999989</v>
      </c>
      <c r="L247">
        <f t="shared" si="11"/>
        <v>65.92</v>
      </c>
    </row>
    <row r="248" spans="1:12" x14ac:dyDescent="0.2">
      <c r="A248" t="s">
        <v>255</v>
      </c>
      <c r="B248" s="6">
        <v>45766</v>
      </c>
      <c r="C248" t="s">
        <v>512</v>
      </c>
      <c r="D248" t="s">
        <v>514</v>
      </c>
      <c r="E248" t="s">
        <v>521</v>
      </c>
      <c r="F248" t="s">
        <v>528</v>
      </c>
      <c r="G248">
        <v>6</v>
      </c>
      <c r="H248">
        <v>15.63</v>
      </c>
      <c r="I248">
        <v>8.64</v>
      </c>
      <c r="J248">
        <f t="shared" si="9"/>
        <v>93.78</v>
      </c>
      <c r="K248">
        <f t="shared" si="10"/>
        <v>85.14</v>
      </c>
      <c r="L248">
        <f t="shared" si="11"/>
        <v>51.84</v>
      </c>
    </row>
    <row r="249" spans="1:12" x14ac:dyDescent="0.2">
      <c r="A249" t="s">
        <v>256</v>
      </c>
      <c r="B249" s="6">
        <v>45759</v>
      </c>
      <c r="C249" t="s">
        <v>512</v>
      </c>
      <c r="D249" t="s">
        <v>514</v>
      </c>
      <c r="E249" t="s">
        <v>518</v>
      </c>
      <c r="F249" t="s">
        <v>536</v>
      </c>
      <c r="G249">
        <v>8</v>
      </c>
      <c r="H249">
        <v>21.73</v>
      </c>
      <c r="I249">
        <v>8.86</v>
      </c>
      <c r="J249">
        <f t="shared" si="9"/>
        <v>173.84</v>
      </c>
      <c r="K249">
        <f t="shared" si="10"/>
        <v>164.98000000000002</v>
      </c>
      <c r="L249">
        <f t="shared" si="11"/>
        <v>70.88</v>
      </c>
    </row>
    <row r="250" spans="1:12" x14ac:dyDescent="0.2">
      <c r="A250" t="s">
        <v>257</v>
      </c>
      <c r="B250" s="6">
        <v>45760</v>
      </c>
      <c r="C250" t="s">
        <v>510</v>
      </c>
      <c r="D250" t="s">
        <v>514</v>
      </c>
      <c r="E250" t="s">
        <v>521</v>
      </c>
      <c r="F250" t="s">
        <v>530</v>
      </c>
      <c r="G250">
        <v>2</v>
      </c>
      <c r="H250">
        <v>26.83</v>
      </c>
      <c r="I250">
        <v>11.26</v>
      </c>
      <c r="J250">
        <f t="shared" si="9"/>
        <v>53.66</v>
      </c>
      <c r="K250">
        <f t="shared" si="10"/>
        <v>42.4</v>
      </c>
      <c r="L250">
        <f t="shared" si="11"/>
        <v>22.52</v>
      </c>
    </row>
    <row r="251" spans="1:12" x14ac:dyDescent="0.2">
      <c r="A251" t="s">
        <v>258</v>
      </c>
      <c r="B251" s="6">
        <v>45725</v>
      </c>
      <c r="C251" t="s">
        <v>511</v>
      </c>
      <c r="D251" t="s">
        <v>515</v>
      </c>
      <c r="E251" t="s">
        <v>520</v>
      </c>
      <c r="F251" t="s">
        <v>531</v>
      </c>
      <c r="G251">
        <v>2</v>
      </c>
      <c r="H251">
        <v>62.02</v>
      </c>
      <c r="I251">
        <v>27.14</v>
      </c>
      <c r="J251">
        <f t="shared" si="9"/>
        <v>124.04</v>
      </c>
      <c r="K251">
        <f t="shared" si="10"/>
        <v>96.9</v>
      </c>
      <c r="L251">
        <f t="shared" si="11"/>
        <v>54.28</v>
      </c>
    </row>
    <row r="252" spans="1:12" x14ac:dyDescent="0.2">
      <c r="A252" t="s">
        <v>259</v>
      </c>
      <c r="B252" s="6">
        <v>45715</v>
      </c>
      <c r="C252" t="s">
        <v>511</v>
      </c>
      <c r="D252" t="s">
        <v>517</v>
      </c>
      <c r="E252" t="s">
        <v>521</v>
      </c>
      <c r="F252" t="s">
        <v>527</v>
      </c>
      <c r="G252">
        <v>3</v>
      </c>
      <c r="H252">
        <v>11.7</v>
      </c>
      <c r="I252">
        <v>7.76</v>
      </c>
      <c r="J252">
        <f t="shared" si="9"/>
        <v>35.099999999999994</v>
      </c>
      <c r="K252">
        <f t="shared" si="10"/>
        <v>27.339999999999996</v>
      </c>
      <c r="L252">
        <f t="shared" si="11"/>
        <v>23.28</v>
      </c>
    </row>
    <row r="253" spans="1:12" x14ac:dyDescent="0.2">
      <c r="A253" t="s">
        <v>260</v>
      </c>
      <c r="B253" s="6">
        <v>45713</v>
      </c>
      <c r="C253" t="s">
        <v>510</v>
      </c>
      <c r="D253" t="s">
        <v>516</v>
      </c>
      <c r="E253" t="s">
        <v>519</v>
      </c>
      <c r="F253" t="s">
        <v>524</v>
      </c>
      <c r="G253">
        <v>2</v>
      </c>
      <c r="H253">
        <v>24.59</v>
      </c>
      <c r="I253">
        <v>13.66</v>
      </c>
      <c r="J253">
        <f t="shared" si="9"/>
        <v>49.18</v>
      </c>
      <c r="K253">
        <f t="shared" si="10"/>
        <v>35.519999999999996</v>
      </c>
      <c r="L253">
        <f t="shared" si="11"/>
        <v>27.32</v>
      </c>
    </row>
    <row r="254" spans="1:12" x14ac:dyDescent="0.2">
      <c r="A254" t="s">
        <v>261</v>
      </c>
      <c r="B254" s="6">
        <v>45678</v>
      </c>
      <c r="C254" t="s">
        <v>509</v>
      </c>
      <c r="D254" t="s">
        <v>514</v>
      </c>
      <c r="E254" t="s">
        <v>521</v>
      </c>
      <c r="F254" t="s">
        <v>529</v>
      </c>
      <c r="G254">
        <v>6</v>
      </c>
      <c r="H254">
        <v>28.61</v>
      </c>
      <c r="I254">
        <v>19.579999999999998</v>
      </c>
      <c r="J254">
        <f t="shared" si="9"/>
        <v>171.66</v>
      </c>
      <c r="K254">
        <f t="shared" si="10"/>
        <v>152.07999999999998</v>
      </c>
      <c r="L254">
        <f t="shared" si="11"/>
        <v>117.47999999999999</v>
      </c>
    </row>
    <row r="255" spans="1:12" x14ac:dyDescent="0.2">
      <c r="A255" t="s">
        <v>262</v>
      </c>
      <c r="B255" s="6">
        <v>45690</v>
      </c>
      <c r="C255" t="s">
        <v>512</v>
      </c>
      <c r="D255" t="s">
        <v>517</v>
      </c>
      <c r="E255" t="s">
        <v>521</v>
      </c>
      <c r="F255" t="s">
        <v>527</v>
      </c>
      <c r="G255">
        <v>3</v>
      </c>
      <c r="H255">
        <v>23.16</v>
      </c>
      <c r="I255">
        <v>13.61</v>
      </c>
      <c r="J255">
        <f t="shared" si="9"/>
        <v>69.48</v>
      </c>
      <c r="K255">
        <f t="shared" si="10"/>
        <v>55.870000000000005</v>
      </c>
      <c r="L255">
        <f t="shared" si="11"/>
        <v>40.83</v>
      </c>
    </row>
    <row r="256" spans="1:12" x14ac:dyDescent="0.2">
      <c r="A256" t="s">
        <v>263</v>
      </c>
      <c r="B256" s="6">
        <v>45740</v>
      </c>
      <c r="C256" t="s">
        <v>512</v>
      </c>
      <c r="D256" t="s">
        <v>514</v>
      </c>
      <c r="E256" t="s">
        <v>518</v>
      </c>
      <c r="F256" t="s">
        <v>523</v>
      </c>
      <c r="G256">
        <v>3</v>
      </c>
      <c r="H256">
        <v>17.399999999999999</v>
      </c>
      <c r="I256">
        <v>10.4</v>
      </c>
      <c r="J256">
        <f t="shared" si="9"/>
        <v>52.199999999999996</v>
      </c>
      <c r="K256">
        <f t="shared" si="10"/>
        <v>41.8</v>
      </c>
      <c r="L256">
        <f t="shared" si="11"/>
        <v>31.200000000000003</v>
      </c>
    </row>
    <row r="257" spans="1:12" x14ac:dyDescent="0.2">
      <c r="A257" t="s">
        <v>264</v>
      </c>
      <c r="B257" s="6">
        <v>45763</v>
      </c>
      <c r="C257" t="s">
        <v>513</v>
      </c>
      <c r="D257" t="s">
        <v>516</v>
      </c>
      <c r="E257" t="s">
        <v>521</v>
      </c>
      <c r="F257" t="s">
        <v>527</v>
      </c>
      <c r="G257">
        <v>1</v>
      </c>
      <c r="H257">
        <v>15.58</v>
      </c>
      <c r="I257">
        <v>10.67</v>
      </c>
      <c r="J257">
        <f t="shared" si="9"/>
        <v>15.58</v>
      </c>
      <c r="K257">
        <f t="shared" si="10"/>
        <v>4.91</v>
      </c>
      <c r="L257">
        <f t="shared" si="11"/>
        <v>10.67</v>
      </c>
    </row>
    <row r="258" spans="1:12" x14ac:dyDescent="0.2">
      <c r="A258" t="s">
        <v>265</v>
      </c>
      <c r="B258" s="6">
        <v>45756</v>
      </c>
      <c r="C258" t="s">
        <v>510</v>
      </c>
      <c r="D258" t="s">
        <v>515</v>
      </c>
      <c r="E258" t="s">
        <v>521</v>
      </c>
      <c r="F258" t="s">
        <v>529</v>
      </c>
      <c r="G258">
        <v>1</v>
      </c>
      <c r="H258">
        <v>24.33</v>
      </c>
      <c r="I258">
        <v>13.37</v>
      </c>
      <c r="J258">
        <f t="shared" ref="J258:J321" si="12">(G258*H258)</f>
        <v>24.33</v>
      </c>
      <c r="K258">
        <f t="shared" ref="K258:K321" si="13">(J258-I258)</f>
        <v>10.959999999999999</v>
      </c>
      <c r="L258">
        <f t="shared" si="11"/>
        <v>13.37</v>
      </c>
    </row>
    <row r="259" spans="1:12" x14ac:dyDescent="0.2">
      <c r="A259" t="s">
        <v>266</v>
      </c>
      <c r="B259" s="6">
        <v>45719</v>
      </c>
      <c r="C259" t="s">
        <v>512</v>
      </c>
      <c r="D259" t="s">
        <v>515</v>
      </c>
      <c r="E259" t="s">
        <v>521</v>
      </c>
      <c r="F259" t="s">
        <v>528</v>
      </c>
      <c r="G259">
        <v>5</v>
      </c>
      <c r="H259">
        <v>14.46</v>
      </c>
      <c r="I259">
        <v>7.75</v>
      </c>
      <c r="J259">
        <f t="shared" si="12"/>
        <v>72.300000000000011</v>
      </c>
      <c r="K259">
        <f t="shared" si="13"/>
        <v>64.550000000000011</v>
      </c>
      <c r="L259">
        <f t="shared" ref="L259:L322" si="14">(G259*I259)</f>
        <v>38.75</v>
      </c>
    </row>
    <row r="260" spans="1:12" x14ac:dyDescent="0.2">
      <c r="A260" t="s">
        <v>267</v>
      </c>
      <c r="B260" s="6">
        <v>45714</v>
      </c>
      <c r="C260" t="s">
        <v>511</v>
      </c>
      <c r="D260" t="s">
        <v>515</v>
      </c>
      <c r="E260" t="s">
        <v>518</v>
      </c>
      <c r="F260" t="s">
        <v>536</v>
      </c>
      <c r="G260">
        <v>8</v>
      </c>
      <c r="H260">
        <v>27.22</v>
      </c>
      <c r="I260">
        <v>12.55</v>
      </c>
      <c r="J260">
        <f t="shared" si="12"/>
        <v>217.76</v>
      </c>
      <c r="K260">
        <f t="shared" si="13"/>
        <v>205.20999999999998</v>
      </c>
      <c r="L260">
        <f t="shared" si="14"/>
        <v>100.4</v>
      </c>
    </row>
    <row r="261" spans="1:12" x14ac:dyDescent="0.2">
      <c r="A261" t="s">
        <v>268</v>
      </c>
      <c r="B261" s="6">
        <v>45768</v>
      </c>
      <c r="C261" t="s">
        <v>509</v>
      </c>
      <c r="D261" t="s">
        <v>517</v>
      </c>
      <c r="E261" t="s">
        <v>519</v>
      </c>
      <c r="F261" t="s">
        <v>534</v>
      </c>
      <c r="G261">
        <v>7</v>
      </c>
      <c r="H261">
        <v>23.87</v>
      </c>
      <c r="I261">
        <v>10.48</v>
      </c>
      <c r="J261">
        <f t="shared" si="12"/>
        <v>167.09</v>
      </c>
      <c r="K261">
        <f t="shared" si="13"/>
        <v>156.61000000000001</v>
      </c>
      <c r="L261">
        <f t="shared" si="14"/>
        <v>73.36</v>
      </c>
    </row>
    <row r="262" spans="1:12" x14ac:dyDescent="0.2">
      <c r="A262" t="s">
        <v>269</v>
      </c>
      <c r="B262" s="6">
        <v>45698</v>
      </c>
      <c r="C262" t="s">
        <v>512</v>
      </c>
      <c r="D262" t="s">
        <v>515</v>
      </c>
      <c r="E262" t="s">
        <v>521</v>
      </c>
      <c r="F262" t="s">
        <v>527</v>
      </c>
      <c r="G262">
        <v>2</v>
      </c>
      <c r="H262">
        <v>13.37</v>
      </c>
      <c r="I262">
        <v>6.42</v>
      </c>
      <c r="J262">
        <f t="shared" si="12"/>
        <v>26.74</v>
      </c>
      <c r="K262">
        <f t="shared" si="13"/>
        <v>20.32</v>
      </c>
      <c r="L262">
        <f t="shared" si="14"/>
        <v>12.84</v>
      </c>
    </row>
    <row r="263" spans="1:12" x14ac:dyDescent="0.2">
      <c r="A263" t="s">
        <v>270</v>
      </c>
      <c r="B263" s="6">
        <v>45670</v>
      </c>
      <c r="C263" t="s">
        <v>513</v>
      </c>
      <c r="D263" t="s">
        <v>517</v>
      </c>
      <c r="E263" t="s">
        <v>519</v>
      </c>
      <c r="F263" t="s">
        <v>524</v>
      </c>
      <c r="G263">
        <v>7</v>
      </c>
      <c r="H263">
        <v>19.7</v>
      </c>
      <c r="I263">
        <v>12.99</v>
      </c>
      <c r="J263">
        <f t="shared" si="12"/>
        <v>137.9</v>
      </c>
      <c r="K263">
        <f t="shared" si="13"/>
        <v>124.91000000000001</v>
      </c>
      <c r="L263">
        <f t="shared" si="14"/>
        <v>90.93</v>
      </c>
    </row>
    <row r="264" spans="1:12" x14ac:dyDescent="0.2">
      <c r="A264" t="s">
        <v>271</v>
      </c>
      <c r="B264" s="6">
        <v>45768</v>
      </c>
      <c r="C264" t="s">
        <v>512</v>
      </c>
      <c r="D264" t="s">
        <v>517</v>
      </c>
      <c r="E264" t="s">
        <v>520</v>
      </c>
      <c r="F264" t="s">
        <v>525</v>
      </c>
      <c r="G264">
        <v>6</v>
      </c>
      <c r="H264">
        <v>43.79</v>
      </c>
      <c r="I264">
        <v>20.010000000000002</v>
      </c>
      <c r="J264">
        <f t="shared" si="12"/>
        <v>262.74</v>
      </c>
      <c r="K264">
        <f t="shared" si="13"/>
        <v>242.73000000000002</v>
      </c>
      <c r="L264">
        <f t="shared" si="14"/>
        <v>120.06</v>
      </c>
    </row>
    <row r="265" spans="1:12" x14ac:dyDescent="0.2">
      <c r="A265" t="s">
        <v>272</v>
      </c>
      <c r="B265" s="6">
        <v>45723</v>
      </c>
      <c r="C265" t="s">
        <v>511</v>
      </c>
      <c r="D265" t="s">
        <v>515</v>
      </c>
      <c r="E265" t="s">
        <v>519</v>
      </c>
      <c r="F265" t="s">
        <v>526</v>
      </c>
      <c r="G265">
        <v>5</v>
      </c>
      <c r="H265">
        <v>14.88</v>
      </c>
      <c r="I265">
        <v>8.17</v>
      </c>
      <c r="J265">
        <f t="shared" si="12"/>
        <v>74.400000000000006</v>
      </c>
      <c r="K265">
        <f t="shared" si="13"/>
        <v>66.23</v>
      </c>
      <c r="L265">
        <f t="shared" si="14"/>
        <v>40.85</v>
      </c>
    </row>
    <row r="266" spans="1:12" x14ac:dyDescent="0.2">
      <c r="A266" t="s">
        <v>273</v>
      </c>
      <c r="B266" s="6">
        <v>45722</v>
      </c>
      <c r="C266" t="s">
        <v>511</v>
      </c>
      <c r="D266" t="s">
        <v>514</v>
      </c>
      <c r="E266" t="s">
        <v>518</v>
      </c>
      <c r="F266" t="s">
        <v>537</v>
      </c>
      <c r="G266">
        <v>4</v>
      </c>
      <c r="H266">
        <v>23.74</v>
      </c>
      <c r="I266">
        <v>13.65</v>
      </c>
      <c r="J266">
        <f t="shared" si="12"/>
        <v>94.96</v>
      </c>
      <c r="K266">
        <f t="shared" si="13"/>
        <v>81.309999999999988</v>
      </c>
      <c r="L266">
        <f t="shared" si="14"/>
        <v>54.6</v>
      </c>
    </row>
    <row r="267" spans="1:12" x14ac:dyDescent="0.2">
      <c r="A267" t="s">
        <v>274</v>
      </c>
      <c r="B267" s="6">
        <v>45694</v>
      </c>
      <c r="C267" t="s">
        <v>511</v>
      </c>
      <c r="D267" t="s">
        <v>515</v>
      </c>
      <c r="E267" t="s">
        <v>518</v>
      </c>
      <c r="F267" t="s">
        <v>522</v>
      </c>
      <c r="G267">
        <v>5</v>
      </c>
      <c r="H267">
        <v>18.760000000000002</v>
      </c>
      <c r="I267">
        <v>10.52</v>
      </c>
      <c r="J267">
        <f t="shared" si="12"/>
        <v>93.800000000000011</v>
      </c>
      <c r="K267">
        <f t="shared" si="13"/>
        <v>83.280000000000015</v>
      </c>
      <c r="L267">
        <f t="shared" si="14"/>
        <v>52.599999999999994</v>
      </c>
    </row>
    <row r="268" spans="1:12" x14ac:dyDescent="0.2">
      <c r="A268" t="s">
        <v>275</v>
      </c>
      <c r="B268" s="6">
        <v>45675</v>
      </c>
      <c r="C268" t="s">
        <v>509</v>
      </c>
      <c r="D268" t="s">
        <v>517</v>
      </c>
      <c r="E268" t="s">
        <v>518</v>
      </c>
      <c r="F268" t="s">
        <v>537</v>
      </c>
      <c r="G268">
        <v>7</v>
      </c>
      <c r="H268">
        <v>33.159999999999997</v>
      </c>
      <c r="I268">
        <v>16.899999999999999</v>
      </c>
      <c r="J268">
        <f t="shared" si="12"/>
        <v>232.11999999999998</v>
      </c>
      <c r="K268">
        <f t="shared" si="13"/>
        <v>215.21999999999997</v>
      </c>
      <c r="L268">
        <f t="shared" si="14"/>
        <v>118.29999999999998</v>
      </c>
    </row>
    <row r="269" spans="1:12" x14ac:dyDescent="0.2">
      <c r="A269" t="s">
        <v>276</v>
      </c>
      <c r="B269" s="6">
        <v>45730</v>
      </c>
      <c r="C269" t="s">
        <v>510</v>
      </c>
      <c r="D269" t="s">
        <v>514</v>
      </c>
      <c r="E269" t="s">
        <v>520</v>
      </c>
      <c r="F269" t="s">
        <v>525</v>
      </c>
      <c r="G269">
        <v>6</v>
      </c>
      <c r="H269">
        <v>52.85</v>
      </c>
      <c r="I269">
        <v>29.91</v>
      </c>
      <c r="J269">
        <f t="shared" si="12"/>
        <v>317.10000000000002</v>
      </c>
      <c r="K269">
        <f t="shared" si="13"/>
        <v>287.19</v>
      </c>
      <c r="L269">
        <f t="shared" si="14"/>
        <v>179.46</v>
      </c>
    </row>
    <row r="270" spans="1:12" x14ac:dyDescent="0.2">
      <c r="A270" t="s">
        <v>277</v>
      </c>
      <c r="B270" s="6">
        <v>45722</v>
      </c>
      <c r="C270" t="s">
        <v>511</v>
      </c>
      <c r="D270" t="s">
        <v>517</v>
      </c>
      <c r="E270" t="s">
        <v>518</v>
      </c>
      <c r="F270" t="s">
        <v>537</v>
      </c>
      <c r="G270">
        <v>2</v>
      </c>
      <c r="H270">
        <v>22.8</v>
      </c>
      <c r="I270">
        <v>10</v>
      </c>
      <c r="J270">
        <f t="shared" si="12"/>
        <v>45.6</v>
      </c>
      <c r="K270">
        <f t="shared" si="13"/>
        <v>35.6</v>
      </c>
      <c r="L270">
        <f t="shared" si="14"/>
        <v>20</v>
      </c>
    </row>
    <row r="271" spans="1:12" x14ac:dyDescent="0.2">
      <c r="A271" t="s">
        <v>278</v>
      </c>
      <c r="B271" s="6">
        <v>45705</v>
      </c>
      <c r="C271" t="s">
        <v>509</v>
      </c>
      <c r="D271" t="s">
        <v>517</v>
      </c>
      <c r="E271" t="s">
        <v>518</v>
      </c>
      <c r="F271" t="s">
        <v>537</v>
      </c>
      <c r="G271">
        <v>3</v>
      </c>
      <c r="H271">
        <v>25.65</v>
      </c>
      <c r="I271">
        <v>11.79</v>
      </c>
      <c r="J271">
        <f t="shared" si="12"/>
        <v>76.949999999999989</v>
      </c>
      <c r="K271">
        <f t="shared" si="13"/>
        <v>65.16</v>
      </c>
      <c r="L271">
        <f t="shared" si="14"/>
        <v>35.369999999999997</v>
      </c>
    </row>
    <row r="272" spans="1:12" x14ac:dyDescent="0.2">
      <c r="A272" t="s">
        <v>279</v>
      </c>
      <c r="B272" s="6">
        <v>45663</v>
      </c>
      <c r="C272" t="s">
        <v>513</v>
      </c>
      <c r="D272" t="s">
        <v>514</v>
      </c>
      <c r="E272" t="s">
        <v>520</v>
      </c>
      <c r="F272" t="s">
        <v>525</v>
      </c>
      <c r="G272">
        <v>6</v>
      </c>
      <c r="H272">
        <v>67.209999999999994</v>
      </c>
      <c r="I272">
        <v>43.09</v>
      </c>
      <c r="J272">
        <f t="shared" si="12"/>
        <v>403.26</v>
      </c>
      <c r="K272">
        <f t="shared" si="13"/>
        <v>360.16999999999996</v>
      </c>
      <c r="L272">
        <f t="shared" si="14"/>
        <v>258.54000000000002</v>
      </c>
    </row>
    <row r="273" spans="1:12" x14ac:dyDescent="0.2">
      <c r="A273" t="s">
        <v>280</v>
      </c>
      <c r="B273" s="6">
        <v>45735</v>
      </c>
      <c r="C273" t="s">
        <v>510</v>
      </c>
      <c r="D273" t="s">
        <v>514</v>
      </c>
      <c r="E273" t="s">
        <v>520</v>
      </c>
      <c r="F273" t="s">
        <v>525</v>
      </c>
      <c r="G273">
        <v>6</v>
      </c>
      <c r="H273">
        <v>52.82</v>
      </c>
      <c r="I273">
        <v>35.89</v>
      </c>
      <c r="J273">
        <f t="shared" si="12"/>
        <v>316.92</v>
      </c>
      <c r="K273">
        <f t="shared" si="13"/>
        <v>281.03000000000003</v>
      </c>
      <c r="L273">
        <f t="shared" si="14"/>
        <v>215.34</v>
      </c>
    </row>
    <row r="274" spans="1:12" x14ac:dyDescent="0.2">
      <c r="A274" t="s">
        <v>281</v>
      </c>
      <c r="B274" s="6">
        <v>45708</v>
      </c>
      <c r="C274" t="s">
        <v>510</v>
      </c>
      <c r="D274" t="s">
        <v>517</v>
      </c>
      <c r="E274" t="s">
        <v>521</v>
      </c>
      <c r="F274" t="s">
        <v>529</v>
      </c>
      <c r="G274">
        <v>6</v>
      </c>
      <c r="H274">
        <v>23.82</v>
      </c>
      <c r="I274">
        <v>13.15</v>
      </c>
      <c r="J274">
        <f t="shared" si="12"/>
        <v>142.92000000000002</v>
      </c>
      <c r="K274">
        <f t="shared" si="13"/>
        <v>129.77000000000001</v>
      </c>
      <c r="L274">
        <f t="shared" si="14"/>
        <v>78.900000000000006</v>
      </c>
    </row>
    <row r="275" spans="1:12" x14ac:dyDescent="0.2">
      <c r="A275" t="s">
        <v>282</v>
      </c>
      <c r="B275" s="6">
        <v>45718</v>
      </c>
      <c r="C275" t="s">
        <v>513</v>
      </c>
      <c r="D275" t="s">
        <v>517</v>
      </c>
      <c r="E275" t="s">
        <v>520</v>
      </c>
      <c r="F275" t="s">
        <v>531</v>
      </c>
      <c r="G275">
        <v>6</v>
      </c>
      <c r="H275">
        <v>60.05</v>
      </c>
      <c r="I275">
        <v>36.159999999999997</v>
      </c>
      <c r="J275">
        <f t="shared" si="12"/>
        <v>360.29999999999995</v>
      </c>
      <c r="K275">
        <f t="shared" si="13"/>
        <v>324.14</v>
      </c>
      <c r="L275">
        <f t="shared" si="14"/>
        <v>216.95999999999998</v>
      </c>
    </row>
    <row r="276" spans="1:12" x14ac:dyDescent="0.2">
      <c r="A276" t="s">
        <v>283</v>
      </c>
      <c r="B276" s="6">
        <v>45759</v>
      </c>
      <c r="C276" t="s">
        <v>513</v>
      </c>
      <c r="D276" t="s">
        <v>515</v>
      </c>
      <c r="E276" t="s">
        <v>520</v>
      </c>
      <c r="F276" t="s">
        <v>531</v>
      </c>
      <c r="G276">
        <v>5</v>
      </c>
      <c r="H276">
        <v>55.09</v>
      </c>
      <c r="I276">
        <v>38.020000000000003</v>
      </c>
      <c r="J276">
        <f t="shared" si="12"/>
        <v>275.45000000000005</v>
      </c>
      <c r="K276">
        <f t="shared" si="13"/>
        <v>237.43000000000004</v>
      </c>
      <c r="L276">
        <f t="shared" si="14"/>
        <v>190.10000000000002</v>
      </c>
    </row>
    <row r="277" spans="1:12" x14ac:dyDescent="0.2">
      <c r="A277" t="s">
        <v>284</v>
      </c>
      <c r="B277" s="6">
        <v>45732</v>
      </c>
      <c r="C277" t="s">
        <v>511</v>
      </c>
      <c r="D277" t="s">
        <v>514</v>
      </c>
      <c r="E277" t="s">
        <v>519</v>
      </c>
      <c r="F277" t="s">
        <v>535</v>
      </c>
      <c r="G277">
        <v>7</v>
      </c>
      <c r="H277">
        <v>22.31</v>
      </c>
      <c r="I277">
        <v>9.91</v>
      </c>
      <c r="J277">
        <f t="shared" si="12"/>
        <v>156.16999999999999</v>
      </c>
      <c r="K277">
        <f t="shared" si="13"/>
        <v>146.26</v>
      </c>
      <c r="L277">
        <f t="shared" si="14"/>
        <v>69.37</v>
      </c>
    </row>
    <row r="278" spans="1:12" x14ac:dyDescent="0.2">
      <c r="A278" t="s">
        <v>285</v>
      </c>
      <c r="B278" s="6">
        <v>45731</v>
      </c>
      <c r="C278" t="s">
        <v>513</v>
      </c>
      <c r="D278" t="s">
        <v>514</v>
      </c>
      <c r="E278" t="s">
        <v>519</v>
      </c>
      <c r="F278" t="s">
        <v>535</v>
      </c>
      <c r="G278">
        <v>1</v>
      </c>
      <c r="H278">
        <v>21</v>
      </c>
      <c r="I278">
        <v>11.18</v>
      </c>
      <c r="J278">
        <f t="shared" si="12"/>
        <v>21</v>
      </c>
      <c r="K278">
        <f t="shared" si="13"/>
        <v>9.82</v>
      </c>
      <c r="L278">
        <f t="shared" si="14"/>
        <v>11.18</v>
      </c>
    </row>
    <row r="279" spans="1:12" x14ac:dyDescent="0.2">
      <c r="A279" t="s">
        <v>286</v>
      </c>
      <c r="B279" s="6">
        <v>45710</v>
      </c>
      <c r="C279" t="s">
        <v>512</v>
      </c>
      <c r="D279" t="s">
        <v>515</v>
      </c>
      <c r="E279" t="s">
        <v>520</v>
      </c>
      <c r="F279" t="s">
        <v>525</v>
      </c>
      <c r="G279">
        <v>8</v>
      </c>
      <c r="H279">
        <v>57</v>
      </c>
      <c r="I279">
        <v>37.729999999999997</v>
      </c>
      <c r="J279">
        <f t="shared" si="12"/>
        <v>456</v>
      </c>
      <c r="K279">
        <f t="shared" si="13"/>
        <v>418.27</v>
      </c>
      <c r="L279">
        <f t="shared" si="14"/>
        <v>301.83999999999997</v>
      </c>
    </row>
    <row r="280" spans="1:12" x14ac:dyDescent="0.2">
      <c r="A280" t="s">
        <v>287</v>
      </c>
      <c r="B280" s="6">
        <v>45724</v>
      </c>
      <c r="C280" t="s">
        <v>512</v>
      </c>
      <c r="D280" t="s">
        <v>517</v>
      </c>
      <c r="E280" t="s">
        <v>518</v>
      </c>
      <c r="F280" t="s">
        <v>536</v>
      </c>
      <c r="G280">
        <v>8</v>
      </c>
      <c r="H280">
        <v>25.35</v>
      </c>
      <c r="I280">
        <v>14.14</v>
      </c>
      <c r="J280">
        <f t="shared" si="12"/>
        <v>202.8</v>
      </c>
      <c r="K280">
        <f t="shared" si="13"/>
        <v>188.66000000000003</v>
      </c>
      <c r="L280">
        <f t="shared" si="14"/>
        <v>113.12</v>
      </c>
    </row>
    <row r="281" spans="1:12" x14ac:dyDescent="0.2">
      <c r="A281" t="s">
        <v>288</v>
      </c>
      <c r="B281" s="6">
        <v>45716</v>
      </c>
      <c r="C281" t="s">
        <v>510</v>
      </c>
      <c r="D281" t="s">
        <v>517</v>
      </c>
      <c r="E281" t="s">
        <v>521</v>
      </c>
      <c r="F281" t="s">
        <v>529</v>
      </c>
      <c r="G281">
        <v>6</v>
      </c>
      <c r="H281">
        <v>16.07</v>
      </c>
      <c r="I281">
        <v>9.69</v>
      </c>
      <c r="J281">
        <f t="shared" si="12"/>
        <v>96.42</v>
      </c>
      <c r="K281">
        <f t="shared" si="13"/>
        <v>86.73</v>
      </c>
      <c r="L281">
        <f t="shared" si="14"/>
        <v>58.14</v>
      </c>
    </row>
    <row r="282" spans="1:12" x14ac:dyDescent="0.2">
      <c r="A282" t="s">
        <v>289</v>
      </c>
      <c r="B282" s="6">
        <v>45682</v>
      </c>
      <c r="C282" t="s">
        <v>512</v>
      </c>
      <c r="D282" t="s">
        <v>517</v>
      </c>
      <c r="E282" t="s">
        <v>521</v>
      </c>
      <c r="F282" t="s">
        <v>530</v>
      </c>
      <c r="G282">
        <v>5</v>
      </c>
      <c r="H282">
        <v>18.57</v>
      </c>
      <c r="I282">
        <v>8.68</v>
      </c>
      <c r="J282">
        <f t="shared" si="12"/>
        <v>92.85</v>
      </c>
      <c r="K282">
        <f t="shared" si="13"/>
        <v>84.169999999999987</v>
      </c>
      <c r="L282">
        <f t="shared" si="14"/>
        <v>43.4</v>
      </c>
    </row>
    <row r="283" spans="1:12" x14ac:dyDescent="0.2">
      <c r="A283" t="s">
        <v>290</v>
      </c>
      <c r="B283" s="6">
        <v>45748</v>
      </c>
      <c r="C283" t="s">
        <v>512</v>
      </c>
      <c r="D283" t="s">
        <v>515</v>
      </c>
      <c r="E283" t="s">
        <v>521</v>
      </c>
      <c r="F283" t="s">
        <v>528</v>
      </c>
      <c r="G283">
        <v>6</v>
      </c>
      <c r="H283">
        <v>21.31</v>
      </c>
      <c r="I283">
        <v>11.59</v>
      </c>
      <c r="J283">
        <f t="shared" si="12"/>
        <v>127.85999999999999</v>
      </c>
      <c r="K283">
        <f t="shared" si="13"/>
        <v>116.26999999999998</v>
      </c>
      <c r="L283">
        <f t="shared" si="14"/>
        <v>69.539999999999992</v>
      </c>
    </row>
    <row r="284" spans="1:12" x14ac:dyDescent="0.2">
      <c r="A284" t="s">
        <v>291</v>
      </c>
      <c r="B284" s="6">
        <v>45673</v>
      </c>
      <c r="C284" t="s">
        <v>510</v>
      </c>
      <c r="D284" t="s">
        <v>515</v>
      </c>
      <c r="E284" t="s">
        <v>521</v>
      </c>
      <c r="F284" t="s">
        <v>528</v>
      </c>
      <c r="G284">
        <v>7</v>
      </c>
      <c r="H284">
        <v>25.93</v>
      </c>
      <c r="I284">
        <v>16.739999999999998</v>
      </c>
      <c r="J284">
        <f t="shared" si="12"/>
        <v>181.51</v>
      </c>
      <c r="K284">
        <f t="shared" si="13"/>
        <v>164.76999999999998</v>
      </c>
      <c r="L284">
        <f t="shared" si="14"/>
        <v>117.17999999999999</v>
      </c>
    </row>
    <row r="285" spans="1:12" x14ac:dyDescent="0.2">
      <c r="A285" t="s">
        <v>292</v>
      </c>
      <c r="B285" s="6">
        <v>45663</v>
      </c>
      <c r="C285" t="s">
        <v>509</v>
      </c>
      <c r="D285" t="s">
        <v>516</v>
      </c>
      <c r="E285" t="s">
        <v>519</v>
      </c>
      <c r="F285" t="s">
        <v>534</v>
      </c>
      <c r="G285">
        <v>6</v>
      </c>
      <c r="H285">
        <v>13.81</v>
      </c>
      <c r="I285">
        <v>9.35</v>
      </c>
      <c r="J285">
        <f t="shared" si="12"/>
        <v>82.86</v>
      </c>
      <c r="K285">
        <f t="shared" si="13"/>
        <v>73.510000000000005</v>
      </c>
      <c r="L285">
        <f t="shared" si="14"/>
        <v>56.099999999999994</v>
      </c>
    </row>
    <row r="286" spans="1:12" x14ac:dyDescent="0.2">
      <c r="A286" t="s">
        <v>293</v>
      </c>
      <c r="B286" s="6">
        <v>45685</v>
      </c>
      <c r="C286" t="s">
        <v>512</v>
      </c>
      <c r="D286" t="s">
        <v>517</v>
      </c>
      <c r="E286" t="s">
        <v>521</v>
      </c>
      <c r="F286" t="s">
        <v>530</v>
      </c>
      <c r="G286">
        <v>5</v>
      </c>
      <c r="H286">
        <v>28.67</v>
      </c>
      <c r="I286">
        <v>12.65</v>
      </c>
      <c r="J286">
        <f t="shared" si="12"/>
        <v>143.35000000000002</v>
      </c>
      <c r="K286">
        <f t="shared" si="13"/>
        <v>130.70000000000002</v>
      </c>
      <c r="L286">
        <f t="shared" si="14"/>
        <v>63.25</v>
      </c>
    </row>
    <row r="287" spans="1:12" x14ac:dyDescent="0.2">
      <c r="A287" t="s">
        <v>294</v>
      </c>
      <c r="B287" s="6">
        <v>45664</v>
      </c>
      <c r="C287" t="s">
        <v>510</v>
      </c>
      <c r="D287" t="s">
        <v>514</v>
      </c>
      <c r="E287" t="s">
        <v>519</v>
      </c>
      <c r="F287" t="s">
        <v>524</v>
      </c>
      <c r="G287">
        <v>4</v>
      </c>
      <c r="H287">
        <v>10.24</v>
      </c>
      <c r="I287">
        <v>4.26</v>
      </c>
      <c r="J287">
        <f t="shared" si="12"/>
        <v>40.96</v>
      </c>
      <c r="K287">
        <f t="shared" si="13"/>
        <v>36.700000000000003</v>
      </c>
      <c r="L287">
        <f t="shared" si="14"/>
        <v>17.04</v>
      </c>
    </row>
    <row r="288" spans="1:12" x14ac:dyDescent="0.2">
      <c r="A288" t="s">
        <v>295</v>
      </c>
      <c r="B288" s="6">
        <v>45749</v>
      </c>
      <c r="C288" t="s">
        <v>511</v>
      </c>
      <c r="D288" t="s">
        <v>516</v>
      </c>
      <c r="E288" t="s">
        <v>520</v>
      </c>
      <c r="F288" t="s">
        <v>531</v>
      </c>
      <c r="G288">
        <v>3</v>
      </c>
      <c r="H288">
        <v>59.24</v>
      </c>
      <c r="I288">
        <v>23.79</v>
      </c>
      <c r="J288">
        <f t="shared" si="12"/>
        <v>177.72</v>
      </c>
      <c r="K288">
        <f t="shared" si="13"/>
        <v>153.93</v>
      </c>
      <c r="L288">
        <f t="shared" si="14"/>
        <v>71.37</v>
      </c>
    </row>
    <row r="289" spans="1:12" x14ac:dyDescent="0.2">
      <c r="A289" t="s">
        <v>296</v>
      </c>
      <c r="B289" s="6">
        <v>45741</v>
      </c>
      <c r="C289" t="s">
        <v>511</v>
      </c>
      <c r="D289" t="s">
        <v>515</v>
      </c>
      <c r="E289" t="s">
        <v>519</v>
      </c>
      <c r="F289" t="s">
        <v>526</v>
      </c>
      <c r="G289">
        <v>4</v>
      </c>
      <c r="H289">
        <v>22.94</v>
      </c>
      <c r="I289">
        <v>14.38</v>
      </c>
      <c r="J289">
        <f t="shared" si="12"/>
        <v>91.76</v>
      </c>
      <c r="K289">
        <f t="shared" si="13"/>
        <v>77.38000000000001</v>
      </c>
      <c r="L289">
        <f t="shared" si="14"/>
        <v>57.52</v>
      </c>
    </row>
    <row r="290" spans="1:12" x14ac:dyDescent="0.2">
      <c r="A290" t="s">
        <v>297</v>
      </c>
      <c r="B290" s="6">
        <v>45694</v>
      </c>
      <c r="C290" t="s">
        <v>513</v>
      </c>
      <c r="D290" t="s">
        <v>516</v>
      </c>
      <c r="E290" t="s">
        <v>521</v>
      </c>
      <c r="F290" t="s">
        <v>528</v>
      </c>
      <c r="G290">
        <v>4</v>
      </c>
      <c r="H290">
        <v>19.399999999999999</v>
      </c>
      <c r="I290">
        <v>10.87</v>
      </c>
      <c r="J290">
        <f t="shared" si="12"/>
        <v>77.599999999999994</v>
      </c>
      <c r="K290">
        <f t="shared" si="13"/>
        <v>66.72999999999999</v>
      </c>
      <c r="L290">
        <f t="shared" si="14"/>
        <v>43.48</v>
      </c>
    </row>
    <row r="291" spans="1:12" x14ac:dyDescent="0.2">
      <c r="A291" t="s">
        <v>298</v>
      </c>
      <c r="B291" s="6">
        <v>45711</v>
      </c>
      <c r="C291" t="s">
        <v>512</v>
      </c>
      <c r="D291" t="s">
        <v>516</v>
      </c>
      <c r="E291" t="s">
        <v>518</v>
      </c>
      <c r="F291" t="s">
        <v>536</v>
      </c>
      <c r="G291">
        <v>7</v>
      </c>
      <c r="H291">
        <v>21.89</v>
      </c>
      <c r="I291">
        <v>13.93</v>
      </c>
      <c r="J291">
        <f t="shared" si="12"/>
        <v>153.23000000000002</v>
      </c>
      <c r="K291">
        <f t="shared" si="13"/>
        <v>139.30000000000001</v>
      </c>
      <c r="L291">
        <f t="shared" si="14"/>
        <v>97.509999999999991</v>
      </c>
    </row>
    <row r="292" spans="1:12" x14ac:dyDescent="0.2">
      <c r="A292" t="s">
        <v>299</v>
      </c>
      <c r="B292" s="6">
        <v>45770</v>
      </c>
      <c r="C292" t="s">
        <v>513</v>
      </c>
      <c r="D292" t="s">
        <v>516</v>
      </c>
      <c r="E292" t="s">
        <v>519</v>
      </c>
      <c r="F292" t="s">
        <v>534</v>
      </c>
      <c r="G292">
        <v>5</v>
      </c>
      <c r="H292">
        <v>18.96</v>
      </c>
      <c r="I292">
        <v>10.81</v>
      </c>
      <c r="J292">
        <f t="shared" si="12"/>
        <v>94.800000000000011</v>
      </c>
      <c r="K292">
        <f t="shared" si="13"/>
        <v>83.990000000000009</v>
      </c>
      <c r="L292">
        <f t="shared" si="14"/>
        <v>54.050000000000004</v>
      </c>
    </row>
    <row r="293" spans="1:12" x14ac:dyDescent="0.2">
      <c r="A293" t="s">
        <v>300</v>
      </c>
      <c r="B293" s="6">
        <v>45694</v>
      </c>
      <c r="C293" t="s">
        <v>511</v>
      </c>
      <c r="D293" t="s">
        <v>515</v>
      </c>
      <c r="E293" t="s">
        <v>518</v>
      </c>
      <c r="F293" t="s">
        <v>533</v>
      </c>
      <c r="G293">
        <v>3</v>
      </c>
      <c r="H293">
        <v>22.53</v>
      </c>
      <c r="I293">
        <v>14.76</v>
      </c>
      <c r="J293">
        <f t="shared" si="12"/>
        <v>67.59</v>
      </c>
      <c r="K293">
        <f t="shared" si="13"/>
        <v>52.830000000000005</v>
      </c>
      <c r="L293">
        <f t="shared" si="14"/>
        <v>44.28</v>
      </c>
    </row>
    <row r="294" spans="1:12" x14ac:dyDescent="0.2">
      <c r="A294" t="s">
        <v>301</v>
      </c>
      <c r="B294" s="6">
        <v>45682</v>
      </c>
      <c r="C294" t="s">
        <v>513</v>
      </c>
      <c r="D294" t="s">
        <v>517</v>
      </c>
      <c r="E294" t="s">
        <v>520</v>
      </c>
      <c r="F294" t="s">
        <v>531</v>
      </c>
      <c r="G294">
        <v>3</v>
      </c>
      <c r="H294">
        <v>57.05</v>
      </c>
      <c r="I294">
        <v>35.33</v>
      </c>
      <c r="J294">
        <f t="shared" si="12"/>
        <v>171.14999999999998</v>
      </c>
      <c r="K294">
        <f t="shared" si="13"/>
        <v>135.82</v>
      </c>
      <c r="L294">
        <f t="shared" si="14"/>
        <v>105.99</v>
      </c>
    </row>
    <row r="295" spans="1:12" x14ac:dyDescent="0.2">
      <c r="A295" t="s">
        <v>302</v>
      </c>
      <c r="B295" s="6">
        <v>45659</v>
      </c>
      <c r="C295" t="s">
        <v>509</v>
      </c>
      <c r="D295" t="s">
        <v>517</v>
      </c>
      <c r="E295" t="s">
        <v>521</v>
      </c>
      <c r="F295" t="s">
        <v>529</v>
      </c>
      <c r="G295">
        <v>4</v>
      </c>
      <c r="H295">
        <v>22.25</v>
      </c>
      <c r="I295">
        <v>10.07</v>
      </c>
      <c r="J295">
        <f t="shared" si="12"/>
        <v>89</v>
      </c>
      <c r="K295">
        <f t="shared" si="13"/>
        <v>78.930000000000007</v>
      </c>
      <c r="L295">
        <f t="shared" si="14"/>
        <v>40.28</v>
      </c>
    </row>
    <row r="296" spans="1:12" x14ac:dyDescent="0.2">
      <c r="A296" t="s">
        <v>303</v>
      </c>
      <c r="B296" s="6">
        <v>45723</v>
      </c>
      <c r="C296" t="s">
        <v>509</v>
      </c>
      <c r="D296" t="s">
        <v>516</v>
      </c>
      <c r="E296" t="s">
        <v>520</v>
      </c>
      <c r="F296" t="s">
        <v>531</v>
      </c>
      <c r="G296">
        <v>7</v>
      </c>
      <c r="H296">
        <v>61.79</v>
      </c>
      <c r="I296">
        <v>37.119999999999997</v>
      </c>
      <c r="J296">
        <f t="shared" si="12"/>
        <v>432.53</v>
      </c>
      <c r="K296">
        <f t="shared" si="13"/>
        <v>395.40999999999997</v>
      </c>
      <c r="L296">
        <f t="shared" si="14"/>
        <v>259.83999999999997</v>
      </c>
    </row>
    <row r="297" spans="1:12" x14ac:dyDescent="0.2">
      <c r="A297" t="s">
        <v>304</v>
      </c>
      <c r="B297" s="6">
        <v>45719</v>
      </c>
      <c r="C297" t="s">
        <v>509</v>
      </c>
      <c r="D297" t="s">
        <v>514</v>
      </c>
      <c r="E297" t="s">
        <v>519</v>
      </c>
      <c r="F297" t="s">
        <v>524</v>
      </c>
      <c r="G297">
        <v>1</v>
      </c>
      <c r="H297">
        <v>16.54</v>
      </c>
      <c r="I297">
        <v>7.91</v>
      </c>
      <c r="J297">
        <f t="shared" si="12"/>
        <v>16.54</v>
      </c>
      <c r="K297">
        <f t="shared" si="13"/>
        <v>8.629999999999999</v>
      </c>
      <c r="L297">
        <f t="shared" si="14"/>
        <v>7.91</v>
      </c>
    </row>
    <row r="298" spans="1:12" x14ac:dyDescent="0.2">
      <c r="A298" t="s">
        <v>305</v>
      </c>
      <c r="B298" s="6">
        <v>45754</v>
      </c>
      <c r="C298" t="s">
        <v>509</v>
      </c>
      <c r="D298" t="s">
        <v>517</v>
      </c>
      <c r="E298" t="s">
        <v>519</v>
      </c>
      <c r="F298" t="s">
        <v>526</v>
      </c>
      <c r="G298">
        <v>5</v>
      </c>
      <c r="H298">
        <v>24.5</v>
      </c>
      <c r="I298">
        <v>14.08</v>
      </c>
      <c r="J298">
        <f t="shared" si="12"/>
        <v>122.5</v>
      </c>
      <c r="K298">
        <f t="shared" si="13"/>
        <v>108.42</v>
      </c>
      <c r="L298">
        <f t="shared" si="14"/>
        <v>70.400000000000006</v>
      </c>
    </row>
    <row r="299" spans="1:12" x14ac:dyDescent="0.2">
      <c r="A299" t="s">
        <v>306</v>
      </c>
      <c r="B299" s="6">
        <v>45741</v>
      </c>
      <c r="C299" t="s">
        <v>509</v>
      </c>
      <c r="D299" t="s">
        <v>514</v>
      </c>
      <c r="E299" t="s">
        <v>518</v>
      </c>
      <c r="F299" t="s">
        <v>533</v>
      </c>
      <c r="G299">
        <v>1</v>
      </c>
      <c r="H299">
        <v>26.54</v>
      </c>
      <c r="I299">
        <v>15.93</v>
      </c>
      <c r="J299">
        <f t="shared" si="12"/>
        <v>26.54</v>
      </c>
      <c r="K299">
        <f t="shared" si="13"/>
        <v>10.61</v>
      </c>
      <c r="L299">
        <f t="shared" si="14"/>
        <v>15.93</v>
      </c>
    </row>
    <row r="300" spans="1:12" x14ac:dyDescent="0.2">
      <c r="A300" t="s">
        <v>307</v>
      </c>
      <c r="B300" s="6">
        <v>45678</v>
      </c>
      <c r="C300" t="s">
        <v>511</v>
      </c>
      <c r="D300" t="s">
        <v>517</v>
      </c>
      <c r="E300" t="s">
        <v>520</v>
      </c>
      <c r="F300" t="s">
        <v>531</v>
      </c>
      <c r="G300">
        <v>2</v>
      </c>
      <c r="H300">
        <v>64.06</v>
      </c>
      <c r="I300">
        <v>37.9</v>
      </c>
      <c r="J300">
        <f t="shared" si="12"/>
        <v>128.12</v>
      </c>
      <c r="K300">
        <f t="shared" si="13"/>
        <v>90.22</v>
      </c>
      <c r="L300">
        <f t="shared" si="14"/>
        <v>75.8</v>
      </c>
    </row>
    <row r="301" spans="1:12" x14ac:dyDescent="0.2">
      <c r="A301" t="s">
        <v>308</v>
      </c>
      <c r="B301" s="6">
        <v>45736</v>
      </c>
      <c r="C301" t="s">
        <v>512</v>
      </c>
      <c r="D301" t="s">
        <v>514</v>
      </c>
      <c r="E301" t="s">
        <v>521</v>
      </c>
      <c r="F301" t="s">
        <v>528</v>
      </c>
      <c r="G301">
        <v>3</v>
      </c>
      <c r="H301">
        <v>21.15</v>
      </c>
      <c r="I301">
        <v>11.49</v>
      </c>
      <c r="J301">
        <f t="shared" si="12"/>
        <v>63.449999999999996</v>
      </c>
      <c r="K301">
        <f t="shared" si="13"/>
        <v>51.959999999999994</v>
      </c>
      <c r="L301">
        <f t="shared" si="14"/>
        <v>34.47</v>
      </c>
    </row>
    <row r="302" spans="1:12" x14ac:dyDescent="0.2">
      <c r="A302" t="s">
        <v>309</v>
      </c>
      <c r="B302" s="6">
        <v>45711</v>
      </c>
      <c r="C302" t="s">
        <v>510</v>
      </c>
      <c r="D302" t="s">
        <v>515</v>
      </c>
      <c r="E302" t="s">
        <v>520</v>
      </c>
      <c r="F302" t="s">
        <v>531</v>
      </c>
      <c r="G302">
        <v>4</v>
      </c>
      <c r="H302">
        <v>55.86</v>
      </c>
      <c r="I302">
        <v>35.11</v>
      </c>
      <c r="J302">
        <f t="shared" si="12"/>
        <v>223.44</v>
      </c>
      <c r="K302">
        <f t="shared" si="13"/>
        <v>188.32999999999998</v>
      </c>
      <c r="L302">
        <f t="shared" si="14"/>
        <v>140.44</v>
      </c>
    </row>
    <row r="303" spans="1:12" x14ac:dyDescent="0.2">
      <c r="A303" t="s">
        <v>310</v>
      </c>
      <c r="B303" s="6">
        <v>45715</v>
      </c>
      <c r="C303" t="s">
        <v>510</v>
      </c>
      <c r="D303" t="s">
        <v>517</v>
      </c>
      <c r="E303" t="s">
        <v>518</v>
      </c>
      <c r="F303" t="s">
        <v>523</v>
      </c>
      <c r="G303">
        <v>2</v>
      </c>
      <c r="H303">
        <v>22.2</v>
      </c>
      <c r="I303">
        <v>14.99</v>
      </c>
      <c r="J303">
        <f t="shared" si="12"/>
        <v>44.4</v>
      </c>
      <c r="K303">
        <f t="shared" si="13"/>
        <v>29.409999999999997</v>
      </c>
      <c r="L303">
        <f t="shared" si="14"/>
        <v>29.98</v>
      </c>
    </row>
    <row r="304" spans="1:12" x14ac:dyDescent="0.2">
      <c r="A304" t="s">
        <v>311</v>
      </c>
      <c r="B304" s="6">
        <v>45764</v>
      </c>
      <c r="C304" t="s">
        <v>510</v>
      </c>
      <c r="D304" t="s">
        <v>514</v>
      </c>
      <c r="E304" t="s">
        <v>518</v>
      </c>
      <c r="F304" t="s">
        <v>522</v>
      </c>
      <c r="G304">
        <v>3</v>
      </c>
      <c r="H304">
        <v>28.74</v>
      </c>
      <c r="I304">
        <v>12.91</v>
      </c>
      <c r="J304">
        <f t="shared" si="12"/>
        <v>86.22</v>
      </c>
      <c r="K304">
        <f t="shared" si="13"/>
        <v>73.31</v>
      </c>
      <c r="L304">
        <f t="shared" si="14"/>
        <v>38.730000000000004</v>
      </c>
    </row>
    <row r="305" spans="1:12" x14ac:dyDescent="0.2">
      <c r="A305" t="s">
        <v>312</v>
      </c>
      <c r="B305" s="6">
        <v>45745</v>
      </c>
      <c r="C305" t="s">
        <v>512</v>
      </c>
      <c r="D305" t="s">
        <v>515</v>
      </c>
      <c r="E305" t="s">
        <v>520</v>
      </c>
      <c r="F305" t="s">
        <v>525</v>
      </c>
      <c r="G305">
        <v>2</v>
      </c>
      <c r="H305">
        <v>63.05</v>
      </c>
      <c r="I305">
        <v>42.22</v>
      </c>
      <c r="J305">
        <f t="shared" si="12"/>
        <v>126.1</v>
      </c>
      <c r="K305">
        <f t="shared" si="13"/>
        <v>83.88</v>
      </c>
      <c r="L305">
        <f t="shared" si="14"/>
        <v>84.44</v>
      </c>
    </row>
    <row r="306" spans="1:12" x14ac:dyDescent="0.2">
      <c r="A306" t="s">
        <v>313</v>
      </c>
      <c r="B306" s="6">
        <v>45716</v>
      </c>
      <c r="C306" t="s">
        <v>512</v>
      </c>
      <c r="D306" t="s">
        <v>515</v>
      </c>
      <c r="E306" t="s">
        <v>520</v>
      </c>
      <c r="F306" t="s">
        <v>525</v>
      </c>
      <c r="G306">
        <v>8</v>
      </c>
      <c r="H306">
        <v>59.9</v>
      </c>
      <c r="I306">
        <v>34.090000000000003</v>
      </c>
      <c r="J306">
        <f t="shared" si="12"/>
        <v>479.2</v>
      </c>
      <c r="K306">
        <f t="shared" si="13"/>
        <v>445.11</v>
      </c>
      <c r="L306">
        <f t="shared" si="14"/>
        <v>272.72000000000003</v>
      </c>
    </row>
    <row r="307" spans="1:12" x14ac:dyDescent="0.2">
      <c r="A307" t="s">
        <v>314</v>
      </c>
      <c r="B307" s="6">
        <v>45750</v>
      </c>
      <c r="C307" t="s">
        <v>513</v>
      </c>
      <c r="D307" t="s">
        <v>515</v>
      </c>
      <c r="E307" t="s">
        <v>520</v>
      </c>
      <c r="F307" t="s">
        <v>531</v>
      </c>
      <c r="G307">
        <v>5</v>
      </c>
      <c r="H307">
        <v>60.59</v>
      </c>
      <c r="I307">
        <v>39.08</v>
      </c>
      <c r="J307">
        <f t="shared" si="12"/>
        <v>302.95000000000005</v>
      </c>
      <c r="K307">
        <f t="shared" si="13"/>
        <v>263.87000000000006</v>
      </c>
      <c r="L307">
        <f t="shared" si="14"/>
        <v>195.39999999999998</v>
      </c>
    </row>
    <row r="308" spans="1:12" x14ac:dyDescent="0.2">
      <c r="A308" t="s">
        <v>315</v>
      </c>
      <c r="B308" s="6">
        <v>45667</v>
      </c>
      <c r="C308" t="s">
        <v>513</v>
      </c>
      <c r="D308" t="s">
        <v>515</v>
      </c>
      <c r="E308" t="s">
        <v>519</v>
      </c>
      <c r="F308" t="s">
        <v>532</v>
      </c>
      <c r="G308">
        <v>6</v>
      </c>
      <c r="H308">
        <v>26.39</v>
      </c>
      <c r="I308">
        <v>16.100000000000001</v>
      </c>
      <c r="J308">
        <f t="shared" si="12"/>
        <v>158.34</v>
      </c>
      <c r="K308">
        <f t="shared" si="13"/>
        <v>142.24</v>
      </c>
      <c r="L308">
        <f t="shared" si="14"/>
        <v>96.600000000000009</v>
      </c>
    </row>
    <row r="309" spans="1:12" x14ac:dyDescent="0.2">
      <c r="A309" t="s">
        <v>316</v>
      </c>
      <c r="B309" s="6">
        <v>45777</v>
      </c>
      <c r="C309" t="s">
        <v>511</v>
      </c>
      <c r="D309" t="s">
        <v>516</v>
      </c>
      <c r="E309" t="s">
        <v>518</v>
      </c>
      <c r="F309" t="s">
        <v>522</v>
      </c>
      <c r="G309">
        <v>5</v>
      </c>
      <c r="H309">
        <v>22.04</v>
      </c>
      <c r="I309">
        <v>11.52</v>
      </c>
      <c r="J309">
        <f t="shared" si="12"/>
        <v>110.19999999999999</v>
      </c>
      <c r="K309">
        <f t="shared" si="13"/>
        <v>98.679999999999993</v>
      </c>
      <c r="L309">
        <f t="shared" si="14"/>
        <v>57.599999999999994</v>
      </c>
    </row>
    <row r="310" spans="1:12" x14ac:dyDescent="0.2">
      <c r="A310" t="s">
        <v>317</v>
      </c>
      <c r="B310" s="6">
        <v>45705</v>
      </c>
      <c r="C310" t="s">
        <v>511</v>
      </c>
      <c r="D310" t="s">
        <v>515</v>
      </c>
      <c r="E310" t="s">
        <v>519</v>
      </c>
      <c r="F310" t="s">
        <v>526</v>
      </c>
      <c r="G310">
        <v>7</v>
      </c>
      <c r="H310">
        <v>22.74</v>
      </c>
      <c r="I310">
        <v>11.66</v>
      </c>
      <c r="J310">
        <f t="shared" si="12"/>
        <v>159.17999999999998</v>
      </c>
      <c r="K310">
        <f t="shared" si="13"/>
        <v>147.51999999999998</v>
      </c>
      <c r="L310">
        <f t="shared" si="14"/>
        <v>81.62</v>
      </c>
    </row>
    <row r="311" spans="1:12" x14ac:dyDescent="0.2">
      <c r="A311" t="s">
        <v>318</v>
      </c>
      <c r="B311" s="6">
        <v>45673</v>
      </c>
      <c r="C311" t="s">
        <v>512</v>
      </c>
      <c r="D311" t="s">
        <v>515</v>
      </c>
      <c r="E311" t="s">
        <v>519</v>
      </c>
      <c r="F311" t="s">
        <v>534</v>
      </c>
      <c r="G311">
        <v>3</v>
      </c>
      <c r="H311">
        <v>18.989999999999998</v>
      </c>
      <c r="I311">
        <v>11.74</v>
      </c>
      <c r="J311">
        <f t="shared" si="12"/>
        <v>56.97</v>
      </c>
      <c r="K311">
        <f t="shared" si="13"/>
        <v>45.23</v>
      </c>
      <c r="L311">
        <f t="shared" si="14"/>
        <v>35.22</v>
      </c>
    </row>
    <row r="312" spans="1:12" x14ac:dyDescent="0.2">
      <c r="A312" t="s">
        <v>319</v>
      </c>
      <c r="B312" s="6">
        <v>45754</v>
      </c>
      <c r="C312" t="s">
        <v>513</v>
      </c>
      <c r="D312" t="s">
        <v>517</v>
      </c>
      <c r="E312" t="s">
        <v>519</v>
      </c>
      <c r="F312" t="s">
        <v>535</v>
      </c>
      <c r="G312">
        <v>8</v>
      </c>
      <c r="H312">
        <v>18.91</v>
      </c>
      <c r="I312">
        <v>11.38</v>
      </c>
      <c r="J312">
        <f t="shared" si="12"/>
        <v>151.28</v>
      </c>
      <c r="K312">
        <f t="shared" si="13"/>
        <v>139.9</v>
      </c>
      <c r="L312">
        <f t="shared" si="14"/>
        <v>91.04</v>
      </c>
    </row>
    <row r="313" spans="1:12" x14ac:dyDescent="0.2">
      <c r="A313" t="s">
        <v>320</v>
      </c>
      <c r="B313" s="6">
        <v>45763</v>
      </c>
      <c r="C313" t="s">
        <v>512</v>
      </c>
      <c r="D313" t="s">
        <v>514</v>
      </c>
      <c r="E313" t="s">
        <v>520</v>
      </c>
      <c r="F313" t="s">
        <v>531</v>
      </c>
      <c r="G313">
        <v>8</v>
      </c>
      <c r="H313">
        <v>65.489999999999995</v>
      </c>
      <c r="I313">
        <v>33</v>
      </c>
      <c r="J313">
        <f t="shared" si="12"/>
        <v>523.91999999999996</v>
      </c>
      <c r="K313">
        <f t="shared" si="13"/>
        <v>490.91999999999996</v>
      </c>
      <c r="L313">
        <f t="shared" si="14"/>
        <v>264</v>
      </c>
    </row>
    <row r="314" spans="1:12" x14ac:dyDescent="0.2">
      <c r="A314" t="s">
        <v>321</v>
      </c>
      <c r="B314" s="6">
        <v>45777</v>
      </c>
      <c r="C314" t="s">
        <v>513</v>
      </c>
      <c r="D314" t="s">
        <v>516</v>
      </c>
      <c r="E314" t="s">
        <v>521</v>
      </c>
      <c r="F314" t="s">
        <v>529</v>
      </c>
      <c r="G314">
        <v>7</v>
      </c>
      <c r="H314">
        <v>22.13</v>
      </c>
      <c r="I314">
        <v>12.93</v>
      </c>
      <c r="J314">
        <f t="shared" si="12"/>
        <v>154.91</v>
      </c>
      <c r="K314">
        <f t="shared" si="13"/>
        <v>141.97999999999999</v>
      </c>
      <c r="L314">
        <f t="shared" si="14"/>
        <v>90.509999999999991</v>
      </c>
    </row>
    <row r="315" spans="1:12" x14ac:dyDescent="0.2">
      <c r="A315" t="s">
        <v>322</v>
      </c>
      <c r="B315" s="6">
        <v>45684</v>
      </c>
      <c r="C315" t="s">
        <v>513</v>
      </c>
      <c r="D315" t="s">
        <v>516</v>
      </c>
      <c r="E315" t="s">
        <v>518</v>
      </c>
      <c r="F315" t="s">
        <v>536</v>
      </c>
      <c r="G315">
        <v>1</v>
      </c>
      <c r="H315">
        <v>29.07</v>
      </c>
      <c r="I315">
        <v>15.52</v>
      </c>
      <c r="J315">
        <f t="shared" si="12"/>
        <v>29.07</v>
      </c>
      <c r="K315">
        <f t="shared" si="13"/>
        <v>13.55</v>
      </c>
      <c r="L315">
        <f t="shared" si="14"/>
        <v>15.52</v>
      </c>
    </row>
    <row r="316" spans="1:12" x14ac:dyDescent="0.2">
      <c r="A316" t="s">
        <v>323</v>
      </c>
      <c r="B316" s="6">
        <v>45752</v>
      </c>
      <c r="C316" t="s">
        <v>513</v>
      </c>
      <c r="D316" t="s">
        <v>515</v>
      </c>
      <c r="E316" t="s">
        <v>518</v>
      </c>
      <c r="F316" t="s">
        <v>536</v>
      </c>
      <c r="G316">
        <v>8</v>
      </c>
      <c r="H316">
        <v>31.53</v>
      </c>
      <c r="I316">
        <v>14.83</v>
      </c>
      <c r="J316">
        <f t="shared" si="12"/>
        <v>252.24</v>
      </c>
      <c r="K316">
        <f t="shared" si="13"/>
        <v>237.41</v>
      </c>
      <c r="L316">
        <f t="shared" si="14"/>
        <v>118.64</v>
      </c>
    </row>
    <row r="317" spans="1:12" x14ac:dyDescent="0.2">
      <c r="A317" t="s">
        <v>324</v>
      </c>
      <c r="B317" s="6">
        <v>45675</v>
      </c>
      <c r="C317" t="s">
        <v>510</v>
      </c>
      <c r="D317" t="s">
        <v>517</v>
      </c>
      <c r="E317" t="s">
        <v>519</v>
      </c>
      <c r="F317" t="s">
        <v>535</v>
      </c>
      <c r="G317">
        <v>4</v>
      </c>
      <c r="H317">
        <v>20.11</v>
      </c>
      <c r="I317">
        <v>12.97</v>
      </c>
      <c r="J317">
        <f t="shared" si="12"/>
        <v>80.44</v>
      </c>
      <c r="K317">
        <f t="shared" si="13"/>
        <v>67.47</v>
      </c>
      <c r="L317">
        <f t="shared" si="14"/>
        <v>51.88</v>
      </c>
    </row>
    <row r="318" spans="1:12" x14ac:dyDescent="0.2">
      <c r="A318" t="s">
        <v>325</v>
      </c>
      <c r="B318" s="6">
        <v>45688</v>
      </c>
      <c r="C318" t="s">
        <v>509</v>
      </c>
      <c r="D318" t="s">
        <v>514</v>
      </c>
      <c r="E318" t="s">
        <v>521</v>
      </c>
      <c r="F318" t="s">
        <v>528</v>
      </c>
      <c r="G318">
        <v>4</v>
      </c>
      <c r="H318">
        <v>21.41</v>
      </c>
      <c r="I318">
        <v>11.22</v>
      </c>
      <c r="J318">
        <f t="shared" si="12"/>
        <v>85.64</v>
      </c>
      <c r="K318">
        <f t="shared" si="13"/>
        <v>74.42</v>
      </c>
      <c r="L318">
        <f t="shared" si="14"/>
        <v>44.88</v>
      </c>
    </row>
    <row r="319" spans="1:12" x14ac:dyDescent="0.2">
      <c r="A319" t="s">
        <v>326</v>
      </c>
      <c r="B319" s="6">
        <v>45729</v>
      </c>
      <c r="C319" t="s">
        <v>510</v>
      </c>
      <c r="D319" t="s">
        <v>514</v>
      </c>
      <c r="E319" t="s">
        <v>521</v>
      </c>
      <c r="F319" t="s">
        <v>527</v>
      </c>
      <c r="G319">
        <v>7</v>
      </c>
      <c r="H319">
        <v>16.45</v>
      </c>
      <c r="I319">
        <v>9.32</v>
      </c>
      <c r="J319">
        <f t="shared" si="12"/>
        <v>115.14999999999999</v>
      </c>
      <c r="K319">
        <f t="shared" si="13"/>
        <v>105.82999999999998</v>
      </c>
      <c r="L319">
        <f t="shared" si="14"/>
        <v>65.240000000000009</v>
      </c>
    </row>
    <row r="320" spans="1:12" x14ac:dyDescent="0.2">
      <c r="A320" t="s">
        <v>327</v>
      </c>
      <c r="B320" s="6">
        <v>45778</v>
      </c>
      <c r="C320" t="s">
        <v>511</v>
      </c>
      <c r="D320" t="s">
        <v>517</v>
      </c>
      <c r="E320" t="s">
        <v>518</v>
      </c>
      <c r="F320" t="s">
        <v>533</v>
      </c>
      <c r="G320">
        <v>7</v>
      </c>
      <c r="H320">
        <v>26.62</v>
      </c>
      <c r="I320">
        <v>13.91</v>
      </c>
      <c r="J320">
        <f t="shared" si="12"/>
        <v>186.34</v>
      </c>
      <c r="K320">
        <f t="shared" si="13"/>
        <v>172.43</v>
      </c>
      <c r="L320">
        <f t="shared" si="14"/>
        <v>97.37</v>
      </c>
    </row>
    <row r="321" spans="1:12" x14ac:dyDescent="0.2">
      <c r="A321" t="s">
        <v>328</v>
      </c>
      <c r="B321" s="6">
        <v>45681</v>
      </c>
      <c r="C321" t="s">
        <v>510</v>
      </c>
      <c r="D321" t="s">
        <v>515</v>
      </c>
      <c r="E321" t="s">
        <v>521</v>
      </c>
      <c r="F321" t="s">
        <v>530</v>
      </c>
      <c r="G321">
        <v>4</v>
      </c>
      <c r="H321">
        <v>17.350000000000001</v>
      </c>
      <c r="I321">
        <v>11.36</v>
      </c>
      <c r="J321">
        <f t="shared" si="12"/>
        <v>69.400000000000006</v>
      </c>
      <c r="K321">
        <f t="shared" si="13"/>
        <v>58.040000000000006</v>
      </c>
      <c r="L321">
        <f t="shared" si="14"/>
        <v>45.44</v>
      </c>
    </row>
    <row r="322" spans="1:12" x14ac:dyDescent="0.2">
      <c r="A322" t="s">
        <v>329</v>
      </c>
      <c r="B322" s="6">
        <v>45761</v>
      </c>
      <c r="C322" t="s">
        <v>511</v>
      </c>
      <c r="D322" t="s">
        <v>516</v>
      </c>
      <c r="E322" t="s">
        <v>521</v>
      </c>
      <c r="F322" t="s">
        <v>529</v>
      </c>
      <c r="G322">
        <v>7</v>
      </c>
      <c r="H322">
        <v>18.48</v>
      </c>
      <c r="I322">
        <v>12.76</v>
      </c>
      <c r="J322">
        <f t="shared" ref="J322:J385" si="15">(G322*H322)</f>
        <v>129.36000000000001</v>
      </c>
      <c r="K322">
        <f t="shared" ref="K322:K385" si="16">(J322-I322)</f>
        <v>116.60000000000001</v>
      </c>
      <c r="L322">
        <f t="shared" si="14"/>
        <v>89.32</v>
      </c>
    </row>
    <row r="323" spans="1:12" x14ac:dyDescent="0.2">
      <c r="A323" t="s">
        <v>330</v>
      </c>
      <c r="B323" s="6">
        <v>45689</v>
      </c>
      <c r="C323" t="s">
        <v>509</v>
      </c>
      <c r="D323" t="s">
        <v>514</v>
      </c>
      <c r="E323" t="s">
        <v>519</v>
      </c>
      <c r="F323" t="s">
        <v>526</v>
      </c>
      <c r="G323">
        <v>6</v>
      </c>
      <c r="H323">
        <v>22.98</v>
      </c>
      <c r="I323">
        <v>13.65</v>
      </c>
      <c r="J323">
        <f t="shared" si="15"/>
        <v>137.88</v>
      </c>
      <c r="K323">
        <f t="shared" si="16"/>
        <v>124.22999999999999</v>
      </c>
      <c r="L323">
        <f t="shared" ref="L323:L386" si="17">(G323*I323)</f>
        <v>81.900000000000006</v>
      </c>
    </row>
    <row r="324" spans="1:12" x14ac:dyDescent="0.2">
      <c r="A324" t="s">
        <v>331</v>
      </c>
      <c r="B324" s="6">
        <v>45669</v>
      </c>
      <c r="C324" t="s">
        <v>510</v>
      </c>
      <c r="D324" t="s">
        <v>514</v>
      </c>
      <c r="E324" t="s">
        <v>520</v>
      </c>
      <c r="F324" t="s">
        <v>531</v>
      </c>
      <c r="G324">
        <v>1</v>
      </c>
      <c r="H324">
        <v>55.91</v>
      </c>
      <c r="I324">
        <v>26.87</v>
      </c>
      <c r="J324">
        <f t="shared" si="15"/>
        <v>55.91</v>
      </c>
      <c r="K324">
        <f t="shared" si="16"/>
        <v>29.039999999999996</v>
      </c>
      <c r="L324">
        <f t="shared" si="17"/>
        <v>26.87</v>
      </c>
    </row>
    <row r="325" spans="1:12" x14ac:dyDescent="0.2">
      <c r="A325" t="s">
        <v>332</v>
      </c>
      <c r="B325" s="6">
        <v>45682</v>
      </c>
      <c r="C325" t="s">
        <v>510</v>
      </c>
      <c r="D325" t="s">
        <v>514</v>
      </c>
      <c r="E325" t="s">
        <v>518</v>
      </c>
      <c r="F325" t="s">
        <v>522</v>
      </c>
      <c r="G325">
        <v>8</v>
      </c>
      <c r="H325">
        <v>35.46</v>
      </c>
      <c r="I325">
        <v>16.41</v>
      </c>
      <c r="J325">
        <f t="shared" si="15"/>
        <v>283.68</v>
      </c>
      <c r="K325">
        <f t="shared" si="16"/>
        <v>267.27</v>
      </c>
      <c r="L325">
        <f t="shared" si="17"/>
        <v>131.28</v>
      </c>
    </row>
    <row r="326" spans="1:12" x14ac:dyDescent="0.2">
      <c r="A326" t="s">
        <v>333</v>
      </c>
      <c r="B326" s="6">
        <v>45774</v>
      </c>
      <c r="C326" t="s">
        <v>513</v>
      </c>
      <c r="D326" t="s">
        <v>514</v>
      </c>
      <c r="E326" t="s">
        <v>521</v>
      </c>
      <c r="F326" t="s">
        <v>528</v>
      </c>
      <c r="G326">
        <v>4</v>
      </c>
      <c r="H326">
        <v>12.97</v>
      </c>
      <c r="I326">
        <v>8.93</v>
      </c>
      <c r="J326">
        <f t="shared" si="15"/>
        <v>51.88</v>
      </c>
      <c r="K326">
        <f t="shared" si="16"/>
        <v>42.95</v>
      </c>
      <c r="L326">
        <f t="shared" si="17"/>
        <v>35.72</v>
      </c>
    </row>
    <row r="327" spans="1:12" x14ac:dyDescent="0.2">
      <c r="A327" t="s">
        <v>334</v>
      </c>
      <c r="B327" s="6">
        <v>45775</v>
      </c>
      <c r="C327" t="s">
        <v>512</v>
      </c>
      <c r="D327" t="s">
        <v>514</v>
      </c>
      <c r="E327" t="s">
        <v>518</v>
      </c>
      <c r="F327" t="s">
        <v>537</v>
      </c>
      <c r="G327">
        <v>7</v>
      </c>
      <c r="H327">
        <v>18.93</v>
      </c>
      <c r="I327">
        <v>12.77</v>
      </c>
      <c r="J327">
        <f t="shared" si="15"/>
        <v>132.51</v>
      </c>
      <c r="K327">
        <f t="shared" si="16"/>
        <v>119.74</v>
      </c>
      <c r="L327">
        <f t="shared" si="17"/>
        <v>89.39</v>
      </c>
    </row>
    <row r="328" spans="1:12" x14ac:dyDescent="0.2">
      <c r="A328" t="s">
        <v>335</v>
      </c>
      <c r="B328" s="6">
        <v>45706</v>
      </c>
      <c r="C328" t="s">
        <v>511</v>
      </c>
      <c r="D328" t="s">
        <v>517</v>
      </c>
      <c r="E328" t="s">
        <v>521</v>
      </c>
      <c r="F328" t="s">
        <v>528</v>
      </c>
      <c r="G328">
        <v>5</v>
      </c>
      <c r="H328">
        <v>23.79</v>
      </c>
      <c r="I328">
        <v>11.38</v>
      </c>
      <c r="J328">
        <f t="shared" si="15"/>
        <v>118.94999999999999</v>
      </c>
      <c r="K328">
        <f t="shared" si="16"/>
        <v>107.57</v>
      </c>
      <c r="L328">
        <f t="shared" si="17"/>
        <v>56.900000000000006</v>
      </c>
    </row>
    <row r="329" spans="1:12" x14ac:dyDescent="0.2">
      <c r="A329" t="s">
        <v>336</v>
      </c>
      <c r="B329" s="6">
        <v>45670</v>
      </c>
      <c r="C329" t="s">
        <v>511</v>
      </c>
      <c r="D329" t="s">
        <v>517</v>
      </c>
      <c r="E329" t="s">
        <v>520</v>
      </c>
      <c r="F329" t="s">
        <v>531</v>
      </c>
      <c r="G329">
        <v>4</v>
      </c>
      <c r="H329">
        <v>63.96</v>
      </c>
      <c r="I329">
        <v>32.700000000000003</v>
      </c>
      <c r="J329">
        <f t="shared" si="15"/>
        <v>255.84</v>
      </c>
      <c r="K329">
        <f t="shared" si="16"/>
        <v>223.14</v>
      </c>
      <c r="L329">
        <f t="shared" si="17"/>
        <v>130.80000000000001</v>
      </c>
    </row>
    <row r="330" spans="1:12" x14ac:dyDescent="0.2">
      <c r="A330" t="s">
        <v>337</v>
      </c>
      <c r="B330" s="6">
        <v>45730</v>
      </c>
      <c r="C330" t="s">
        <v>512</v>
      </c>
      <c r="D330" t="s">
        <v>514</v>
      </c>
      <c r="E330" t="s">
        <v>520</v>
      </c>
      <c r="F330" t="s">
        <v>525</v>
      </c>
      <c r="G330">
        <v>1</v>
      </c>
      <c r="H330">
        <v>63.12</v>
      </c>
      <c r="I330">
        <v>30.19</v>
      </c>
      <c r="J330">
        <f t="shared" si="15"/>
        <v>63.12</v>
      </c>
      <c r="K330">
        <f t="shared" si="16"/>
        <v>32.929999999999993</v>
      </c>
      <c r="L330">
        <f t="shared" si="17"/>
        <v>30.19</v>
      </c>
    </row>
    <row r="331" spans="1:12" x14ac:dyDescent="0.2">
      <c r="A331" t="s">
        <v>338</v>
      </c>
      <c r="B331" s="6">
        <v>45677</v>
      </c>
      <c r="C331" t="s">
        <v>512</v>
      </c>
      <c r="D331" t="s">
        <v>517</v>
      </c>
      <c r="E331" t="s">
        <v>520</v>
      </c>
      <c r="F331" t="s">
        <v>531</v>
      </c>
      <c r="G331">
        <v>4</v>
      </c>
      <c r="H331">
        <v>63.14</v>
      </c>
      <c r="I331">
        <v>32.450000000000003</v>
      </c>
      <c r="J331">
        <f t="shared" si="15"/>
        <v>252.56</v>
      </c>
      <c r="K331">
        <f t="shared" si="16"/>
        <v>220.11</v>
      </c>
      <c r="L331">
        <f t="shared" si="17"/>
        <v>129.80000000000001</v>
      </c>
    </row>
    <row r="332" spans="1:12" x14ac:dyDescent="0.2">
      <c r="A332" t="s">
        <v>339</v>
      </c>
      <c r="B332" s="6">
        <v>45728</v>
      </c>
      <c r="C332" t="s">
        <v>509</v>
      </c>
      <c r="D332" t="s">
        <v>517</v>
      </c>
      <c r="E332" t="s">
        <v>519</v>
      </c>
      <c r="F332" t="s">
        <v>526</v>
      </c>
      <c r="G332">
        <v>8</v>
      </c>
      <c r="H332">
        <v>19.940000000000001</v>
      </c>
      <c r="I332">
        <v>13.76</v>
      </c>
      <c r="J332">
        <f t="shared" si="15"/>
        <v>159.52000000000001</v>
      </c>
      <c r="K332">
        <f t="shared" si="16"/>
        <v>145.76000000000002</v>
      </c>
      <c r="L332">
        <f t="shared" si="17"/>
        <v>110.08</v>
      </c>
    </row>
    <row r="333" spans="1:12" x14ac:dyDescent="0.2">
      <c r="A333" t="s">
        <v>340</v>
      </c>
      <c r="B333" s="6">
        <v>45679</v>
      </c>
      <c r="C333" t="s">
        <v>509</v>
      </c>
      <c r="D333" t="s">
        <v>514</v>
      </c>
      <c r="E333" t="s">
        <v>520</v>
      </c>
      <c r="F333" t="s">
        <v>531</v>
      </c>
      <c r="G333">
        <v>3</v>
      </c>
      <c r="H333">
        <v>55.51</v>
      </c>
      <c r="I333">
        <v>34.200000000000003</v>
      </c>
      <c r="J333">
        <f t="shared" si="15"/>
        <v>166.53</v>
      </c>
      <c r="K333">
        <f t="shared" si="16"/>
        <v>132.32999999999998</v>
      </c>
      <c r="L333">
        <f t="shared" si="17"/>
        <v>102.60000000000001</v>
      </c>
    </row>
    <row r="334" spans="1:12" x14ac:dyDescent="0.2">
      <c r="A334" t="s">
        <v>341</v>
      </c>
      <c r="B334" s="6">
        <v>45775</v>
      </c>
      <c r="C334" t="s">
        <v>510</v>
      </c>
      <c r="D334" t="s">
        <v>516</v>
      </c>
      <c r="E334" t="s">
        <v>520</v>
      </c>
      <c r="F334" t="s">
        <v>525</v>
      </c>
      <c r="G334">
        <v>1</v>
      </c>
      <c r="H334">
        <v>60.38</v>
      </c>
      <c r="I334">
        <v>39.35</v>
      </c>
      <c r="J334">
        <f t="shared" si="15"/>
        <v>60.38</v>
      </c>
      <c r="K334">
        <f t="shared" si="16"/>
        <v>21.03</v>
      </c>
      <c r="L334">
        <f t="shared" si="17"/>
        <v>39.35</v>
      </c>
    </row>
    <row r="335" spans="1:12" x14ac:dyDescent="0.2">
      <c r="A335" t="s">
        <v>342</v>
      </c>
      <c r="B335" s="6">
        <v>45755</v>
      </c>
      <c r="C335" t="s">
        <v>513</v>
      </c>
      <c r="D335" t="s">
        <v>515</v>
      </c>
      <c r="E335" t="s">
        <v>518</v>
      </c>
      <c r="F335" t="s">
        <v>522</v>
      </c>
      <c r="G335">
        <v>3</v>
      </c>
      <c r="H335">
        <v>21.61</v>
      </c>
      <c r="I335">
        <v>14.11</v>
      </c>
      <c r="J335">
        <f t="shared" si="15"/>
        <v>64.83</v>
      </c>
      <c r="K335">
        <f t="shared" si="16"/>
        <v>50.72</v>
      </c>
      <c r="L335">
        <f t="shared" si="17"/>
        <v>42.33</v>
      </c>
    </row>
    <row r="336" spans="1:12" x14ac:dyDescent="0.2">
      <c r="A336" t="s">
        <v>343</v>
      </c>
      <c r="B336" s="6">
        <v>45748</v>
      </c>
      <c r="C336" t="s">
        <v>512</v>
      </c>
      <c r="D336" t="s">
        <v>516</v>
      </c>
      <c r="E336" t="s">
        <v>519</v>
      </c>
      <c r="F336" t="s">
        <v>535</v>
      </c>
      <c r="G336">
        <v>4</v>
      </c>
      <c r="H336">
        <v>24.88</v>
      </c>
      <c r="I336">
        <v>13.73</v>
      </c>
      <c r="J336">
        <f t="shared" si="15"/>
        <v>99.52</v>
      </c>
      <c r="K336">
        <f t="shared" si="16"/>
        <v>85.789999999999992</v>
      </c>
      <c r="L336">
        <f t="shared" si="17"/>
        <v>54.92</v>
      </c>
    </row>
    <row r="337" spans="1:12" x14ac:dyDescent="0.2">
      <c r="A337" t="s">
        <v>344</v>
      </c>
      <c r="B337" s="6">
        <v>45737</v>
      </c>
      <c r="C337" t="s">
        <v>510</v>
      </c>
      <c r="D337" t="s">
        <v>515</v>
      </c>
      <c r="E337" t="s">
        <v>521</v>
      </c>
      <c r="F337" t="s">
        <v>527</v>
      </c>
      <c r="G337">
        <v>8</v>
      </c>
      <c r="H337">
        <v>17.260000000000002</v>
      </c>
      <c r="I337">
        <v>6.99</v>
      </c>
      <c r="J337">
        <f t="shared" si="15"/>
        <v>138.08000000000001</v>
      </c>
      <c r="K337">
        <f t="shared" si="16"/>
        <v>131.09</v>
      </c>
      <c r="L337">
        <f t="shared" si="17"/>
        <v>55.92</v>
      </c>
    </row>
    <row r="338" spans="1:12" x14ac:dyDescent="0.2">
      <c r="A338" t="s">
        <v>345</v>
      </c>
      <c r="B338" s="6">
        <v>45660</v>
      </c>
      <c r="C338" t="s">
        <v>510</v>
      </c>
      <c r="D338" t="s">
        <v>517</v>
      </c>
      <c r="E338" t="s">
        <v>520</v>
      </c>
      <c r="F338" t="s">
        <v>525</v>
      </c>
      <c r="G338">
        <v>5</v>
      </c>
      <c r="H338">
        <v>55.87</v>
      </c>
      <c r="I338">
        <v>22.64</v>
      </c>
      <c r="J338">
        <f t="shared" si="15"/>
        <v>279.34999999999997</v>
      </c>
      <c r="K338">
        <f t="shared" si="16"/>
        <v>256.70999999999998</v>
      </c>
      <c r="L338">
        <f t="shared" si="17"/>
        <v>113.2</v>
      </c>
    </row>
    <row r="339" spans="1:12" x14ac:dyDescent="0.2">
      <c r="A339" t="s">
        <v>346</v>
      </c>
      <c r="B339" s="6">
        <v>45671</v>
      </c>
      <c r="C339" t="s">
        <v>513</v>
      </c>
      <c r="D339" t="s">
        <v>514</v>
      </c>
      <c r="E339" t="s">
        <v>520</v>
      </c>
      <c r="F339" t="s">
        <v>525</v>
      </c>
      <c r="G339">
        <v>4</v>
      </c>
      <c r="H339">
        <v>58.39</v>
      </c>
      <c r="I339">
        <v>26.72</v>
      </c>
      <c r="J339">
        <f t="shared" si="15"/>
        <v>233.56</v>
      </c>
      <c r="K339">
        <f t="shared" si="16"/>
        <v>206.84</v>
      </c>
      <c r="L339">
        <f t="shared" si="17"/>
        <v>106.88</v>
      </c>
    </row>
    <row r="340" spans="1:12" x14ac:dyDescent="0.2">
      <c r="A340" t="s">
        <v>347</v>
      </c>
      <c r="B340" s="6">
        <v>45692</v>
      </c>
      <c r="C340" t="s">
        <v>511</v>
      </c>
      <c r="D340" t="s">
        <v>516</v>
      </c>
      <c r="E340" t="s">
        <v>521</v>
      </c>
      <c r="F340" t="s">
        <v>528</v>
      </c>
      <c r="G340">
        <v>6</v>
      </c>
      <c r="H340">
        <v>20.059999999999999</v>
      </c>
      <c r="I340">
        <v>13.8</v>
      </c>
      <c r="J340">
        <f t="shared" si="15"/>
        <v>120.35999999999999</v>
      </c>
      <c r="K340">
        <f t="shared" si="16"/>
        <v>106.55999999999999</v>
      </c>
      <c r="L340">
        <f t="shared" si="17"/>
        <v>82.800000000000011</v>
      </c>
    </row>
    <row r="341" spans="1:12" x14ac:dyDescent="0.2">
      <c r="A341" t="s">
        <v>348</v>
      </c>
      <c r="B341" s="6">
        <v>45747</v>
      </c>
      <c r="C341" t="s">
        <v>512</v>
      </c>
      <c r="D341" t="s">
        <v>517</v>
      </c>
      <c r="E341" t="s">
        <v>520</v>
      </c>
      <c r="F341" t="s">
        <v>525</v>
      </c>
      <c r="G341">
        <v>2</v>
      </c>
      <c r="H341">
        <v>57.18</v>
      </c>
      <c r="I341">
        <v>34.090000000000003</v>
      </c>
      <c r="J341">
        <f t="shared" si="15"/>
        <v>114.36</v>
      </c>
      <c r="K341">
        <f t="shared" si="16"/>
        <v>80.27</v>
      </c>
      <c r="L341">
        <f t="shared" si="17"/>
        <v>68.180000000000007</v>
      </c>
    </row>
    <row r="342" spans="1:12" x14ac:dyDescent="0.2">
      <c r="A342" t="s">
        <v>349</v>
      </c>
      <c r="B342" s="6">
        <v>45709</v>
      </c>
      <c r="C342" t="s">
        <v>511</v>
      </c>
      <c r="D342" t="s">
        <v>515</v>
      </c>
      <c r="E342" t="s">
        <v>518</v>
      </c>
      <c r="F342" t="s">
        <v>522</v>
      </c>
      <c r="G342">
        <v>8</v>
      </c>
      <c r="H342">
        <v>20.89</v>
      </c>
      <c r="I342">
        <v>8.7100000000000009</v>
      </c>
      <c r="J342">
        <f t="shared" si="15"/>
        <v>167.12</v>
      </c>
      <c r="K342">
        <f t="shared" si="16"/>
        <v>158.41</v>
      </c>
      <c r="L342">
        <f t="shared" si="17"/>
        <v>69.680000000000007</v>
      </c>
    </row>
    <row r="343" spans="1:12" x14ac:dyDescent="0.2">
      <c r="A343" t="s">
        <v>350</v>
      </c>
      <c r="B343" s="6">
        <v>45668</v>
      </c>
      <c r="C343" t="s">
        <v>511</v>
      </c>
      <c r="D343" t="s">
        <v>515</v>
      </c>
      <c r="E343" t="s">
        <v>518</v>
      </c>
      <c r="F343" t="s">
        <v>536</v>
      </c>
      <c r="G343">
        <v>6</v>
      </c>
      <c r="H343">
        <v>26.22</v>
      </c>
      <c r="I343">
        <v>14.94</v>
      </c>
      <c r="J343">
        <f t="shared" si="15"/>
        <v>157.32</v>
      </c>
      <c r="K343">
        <f t="shared" si="16"/>
        <v>142.38</v>
      </c>
      <c r="L343">
        <f t="shared" si="17"/>
        <v>89.64</v>
      </c>
    </row>
    <row r="344" spans="1:12" x14ac:dyDescent="0.2">
      <c r="A344" t="s">
        <v>351</v>
      </c>
      <c r="B344" s="6">
        <v>45775</v>
      </c>
      <c r="C344" t="s">
        <v>513</v>
      </c>
      <c r="D344" t="s">
        <v>514</v>
      </c>
      <c r="E344" t="s">
        <v>518</v>
      </c>
      <c r="F344" t="s">
        <v>523</v>
      </c>
      <c r="G344">
        <v>4</v>
      </c>
      <c r="H344">
        <v>26.22</v>
      </c>
      <c r="I344">
        <v>17.579999999999998</v>
      </c>
      <c r="J344">
        <f t="shared" si="15"/>
        <v>104.88</v>
      </c>
      <c r="K344">
        <f t="shared" si="16"/>
        <v>87.3</v>
      </c>
      <c r="L344">
        <f t="shared" si="17"/>
        <v>70.319999999999993</v>
      </c>
    </row>
    <row r="345" spans="1:12" x14ac:dyDescent="0.2">
      <c r="A345" t="s">
        <v>352</v>
      </c>
      <c r="B345" s="6">
        <v>45663</v>
      </c>
      <c r="C345" t="s">
        <v>513</v>
      </c>
      <c r="D345" t="s">
        <v>517</v>
      </c>
      <c r="E345" t="s">
        <v>520</v>
      </c>
      <c r="F345" t="s">
        <v>531</v>
      </c>
      <c r="G345">
        <v>1</v>
      </c>
      <c r="H345">
        <v>57.47</v>
      </c>
      <c r="I345">
        <v>26.08</v>
      </c>
      <c r="J345">
        <f t="shared" si="15"/>
        <v>57.47</v>
      </c>
      <c r="K345">
        <f t="shared" si="16"/>
        <v>31.39</v>
      </c>
      <c r="L345">
        <f t="shared" si="17"/>
        <v>26.08</v>
      </c>
    </row>
    <row r="346" spans="1:12" x14ac:dyDescent="0.2">
      <c r="A346" t="s">
        <v>353</v>
      </c>
      <c r="B346" s="6">
        <v>45684</v>
      </c>
      <c r="C346" t="s">
        <v>510</v>
      </c>
      <c r="D346" t="s">
        <v>514</v>
      </c>
      <c r="E346" t="s">
        <v>521</v>
      </c>
      <c r="F346" t="s">
        <v>527</v>
      </c>
      <c r="G346">
        <v>7</v>
      </c>
      <c r="H346">
        <v>15.64</v>
      </c>
      <c r="I346">
        <v>10.61</v>
      </c>
      <c r="J346">
        <f t="shared" si="15"/>
        <v>109.48</v>
      </c>
      <c r="K346">
        <f t="shared" si="16"/>
        <v>98.87</v>
      </c>
      <c r="L346">
        <f t="shared" si="17"/>
        <v>74.27</v>
      </c>
    </row>
    <row r="347" spans="1:12" x14ac:dyDescent="0.2">
      <c r="A347" t="s">
        <v>354</v>
      </c>
      <c r="B347" s="6">
        <v>45730</v>
      </c>
      <c r="C347" t="s">
        <v>512</v>
      </c>
      <c r="D347" t="s">
        <v>515</v>
      </c>
      <c r="E347" t="s">
        <v>521</v>
      </c>
      <c r="F347" t="s">
        <v>529</v>
      </c>
      <c r="G347">
        <v>6</v>
      </c>
      <c r="H347">
        <v>19.16</v>
      </c>
      <c r="I347">
        <v>9.8699999999999992</v>
      </c>
      <c r="J347">
        <f t="shared" si="15"/>
        <v>114.96000000000001</v>
      </c>
      <c r="K347">
        <f t="shared" si="16"/>
        <v>105.09</v>
      </c>
      <c r="L347">
        <f t="shared" si="17"/>
        <v>59.22</v>
      </c>
    </row>
    <row r="348" spans="1:12" x14ac:dyDescent="0.2">
      <c r="A348" t="s">
        <v>355</v>
      </c>
      <c r="B348" s="6">
        <v>45722</v>
      </c>
      <c r="C348" t="s">
        <v>509</v>
      </c>
      <c r="D348" t="s">
        <v>516</v>
      </c>
      <c r="E348" t="s">
        <v>519</v>
      </c>
      <c r="F348" t="s">
        <v>535</v>
      </c>
      <c r="G348">
        <v>2</v>
      </c>
      <c r="H348">
        <v>12.76</v>
      </c>
      <c r="I348">
        <v>6.78</v>
      </c>
      <c r="J348">
        <f t="shared" si="15"/>
        <v>25.52</v>
      </c>
      <c r="K348">
        <f t="shared" si="16"/>
        <v>18.739999999999998</v>
      </c>
      <c r="L348">
        <f t="shared" si="17"/>
        <v>13.56</v>
      </c>
    </row>
    <row r="349" spans="1:12" x14ac:dyDescent="0.2">
      <c r="A349" t="s">
        <v>356</v>
      </c>
      <c r="B349" s="6">
        <v>45735</v>
      </c>
      <c r="C349" t="s">
        <v>510</v>
      </c>
      <c r="D349" t="s">
        <v>515</v>
      </c>
      <c r="E349" t="s">
        <v>518</v>
      </c>
      <c r="F349" t="s">
        <v>533</v>
      </c>
      <c r="G349">
        <v>6</v>
      </c>
      <c r="H349">
        <v>17.96</v>
      </c>
      <c r="I349">
        <v>7.34</v>
      </c>
      <c r="J349">
        <f t="shared" si="15"/>
        <v>107.76</v>
      </c>
      <c r="K349">
        <f t="shared" si="16"/>
        <v>100.42</v>
      </c>
      <c r="L349">
        <f t="shared" si="17"/>
        <v>44.04</v>
      </c>
    </row>
    <row r="350" spans="1:12" x14ac:dyDescent="0.2">
      <c r="A350" t="s">
        <v>357</v>
      </c>
      <c r="B350" s="6">
        <v>45720</v>
      </c>
      <c r="C350" t="s">
        <v>512</v>
      </c>
      <c r="D350" t="s">
        <v>517</v>
      </c>
      <c r="E350" t="s">
        <v>521</v>
      </c>
      <c r="F350" t="s">
        <v>530</v>
      </c>
      <c r="G350">
        <v>7</v>
      </c>
      <c r="H350">
        <v>14.41</v>
      </c>
      <c r="I350">
        <v>7.63</v>
      </c>
      <c r="J350">
        <f t="shared" si="15"/>
        <v>100.87</v>
      </c>
      <c r="K350">
        <f t="shared" si="16"/>
        <v>93.240000000000009</v>
      </c>
      <c r="L350">
        <f t="shared" si="17"/>
        <v>53.41</v>
      </c>
    </row>
    <row r="351" spans="1:12" x14ac:dyDescent="0.2">
      <c r="A351" t="s">
        <v>358</v>
      </c>
      <c r="B351" s="6">
        <v>45756</v>
      </c>
      <c r="C351" t="s">
        <v>510</v>
      </c>
      <c r="D351" t="s">
        <v>517</v>
      </c>
      <c r="E351" t="s">
        <v>520</v>
      </c>
      <c r="F351" t="s">
        <v>525</v>
      </c>
      <c r="G351">
        <v>4</v>
      </c>
      <c r="H351">
        <v>58.93</v>
      </c>
      <c r="I351">
        <v>36.18</v>
      </c>
      <c r="J351">
        <f t="shared" si="15"/>
        <v>235.72</v>
      </c>
      <c r="K351">
        <f t="shared" si="16"/>
        <v>199.54</v>
      </c>
      <c r="L351">
        <f t="shared" si="17"/>
        <v>144.72</v>
      </c>
    </row>
    <row r="352" spans="1:12" x14ac:dyDescent="0.2">
      <c r="A352" t="s">
        <v>359</v>
      </c>
      <c r="B352" s="6">
        <v>45677</v>
      </c>
      <c r="C352" t="s">
        <v>511</v>
      </c>
      <c r="D352" t="s">
        <v>514</v>
      </c>
      <c r="E352" t="s">
        <v>518</v>
      </c>
      <c r="F352" t="s">
        <v>533</v>
      </c>
      <c r="G352">
        <v>7</v>
      </c>
      <c r="H352">
        <v>26.55</v>
      </c>
      <c r="I352">
        <v>13.14</v>
      </c>
      <c r="J352">
        <f t="shared" si="15"/>
        <v>185.85</v>
      </c>
      <c r="K352">
        <f t="shared" si="16"/>
        <v>172.70999999999998</v>
      </c>
      <c r="L352">
        <f t="shared" si="17"/>
        <v>91.98</v>
      </c>
    </row>
    <row r="353" spans="1:12" x14ac:dyDescent="0.2">
      <c r="A353" t="s">
        <v>360</v>
      </c>
      <c r="B353" s="6">
        <v>45658</v>
      </c>
      <c r="C353" t="s">
        <v>509</v>
      </c>
      <c r="D353" t="s">
        <v>515</v>
      </c>
      <c r="E353" t="s">
        <v>518</v>
      </c>
      <c r="F353" t="s">
        <v>522</v>
      </c>
      <c r="G353">
        <v>6</v>
      </c>
      <c r="H353">
        <v>32.380000000000003</v>
      </c>
      <c r="I353">
        <v>20.350000000000001</v>
      </c>
      <c r="J353">
        <f t="shared" si="15"/>
        <v>194.28000000000003</v>
      </c>
      <c r="K353">
        <f t="shared" si="16"/>
        <v>173.93000000000004</v>
      </c>
      <c r="L353">
        <f t="shared" si="17"/>
        <v>122.10000000000001</v>
      </c>
    </row>
    <row r="354" spans="1:12" x14ac:dyDescent="0.2">
      <c r="A354" t="s">
        <v>361</v>
      </c>
      <c r="B354" s="6">
        <v>45669</v>
      </c>
      <c r="C354" t="s">
        <v>512</v>
      </c>
      <c r="D354" t="s">
        <v>515</v>
      </c>
      <c r="E354" t="s">
        <v>518</v>
      </c>
      <c r="F354" t="s">
        <v>536</v>
      </c>
      <c r="G354">
        <v>8</v>
      </c>
      <c r="H354">
        <v>29.29</v>
      </c>
      <c r="I354">
        <v>16.61</v>
      </c>
      <c r="J354">
        <f t="shared" si="15"/>
        <v>234.32</v>
      </c>
      <c r="K354">
        <f t="shared" si="16"/>
        <v>217.70999999999998</v>
      </c>
      <c r="L354">
        <f t="shared" si="17"/>
        <v>132.88</v>
      </c>
    </row>
    <row r="355" spans="1:12" x14ac:dyDescent="0.2">
      <c r="A355" t="s">
        <v>362</v>
      </c>
      <c r="B355" s="6">
        <v>45661</v>
      </c>
      <c r="C355" t="s">
        <v>513</v>
      </c>
      <c r="D355" t="s">
        <v>517</v>
      </c>
      <c r="E355" t="s">
        <v>520</v>
      </c>
      <c r="F355" t="s">
        <v>525</v>
      </c>
      <c r="G355">
        <v>2</v>
      </c>
      <c r="H355">
        <v>59.2</v>
      </c>
      <c r="I355">
        <v>34.28</v>
      </c>
      <c r="J355">
        <f t="shared" si="15"/>
        <v>118.4</v>
      </c>
      <c r="K355">
        <f t="shared" si="16"/>
        <v>84.12</v>
      </c>
      <c r="L355">
        <f t="shared" si="17"/>
        <v>68.56</v>
      </c>
    </row>
    <row r="356" spans="1:12" x14ac:dyDescent="0.2">
      <c r="A356" t="s">
        <v>363</v>
      </c>
      <c r="B356" s="6">
        <v>45659</v>
      </c>
      <c r="C356" t="s">
        <v>509</v>
      </c>
      <c r="D356" t="s">
        <v>515</v>
      </c>
      <c r="E356" t="s">
        <v>521</v>
      </c>
      <c r="F356" t="s">
        <v>530</v>
      </c>
      <c r="G356">
        <v>7</v>
      </c>
      <c r="H356">
        <v>17.899999999999999</v>
      </c>
      <c r="I356">
        <v>11.34</v>
      </c>
      <c r="J356">
        <f t="shared" si="15"/>
        <v>125.29999999999998</v>
      </c>
      <c r="K356">
        <f t="shared" si="16"/>
        <v>113.95999999999998</v>
      </c>
      <c r="L356">
        <f t="shared" si="17"/>
        <v>79.38</v>
      </c>
    </row>
    <row r="357" spans="1:12" x14ac:dyDescent="0.2">
      <c r="A357" t="s">
        <v>364</v>
      </c>
      <c r="B357" s="6">
        <v>45724</v>
      </c>
      <c r="C357" t="s">
        <v>512</v>
      </c>
      <c r="D357" t="s">
        <v>515</v>
      </c>
      <c r="E357" t="s">
        <v>519</v>
      </c>
      <c r="F357" t="s">
        <v>532</v>
      </c>
      <c r="G357">
        <v>3</v>
      </c>
      <c r="H357">
        <v>14.99</v>
      </c>
      <c r="I357">
        <v>6.62</v>
      </c>
      <c r="J357">
        <f t="shared" si="15"/>
        <v>44.97</v>
      </c>
      <c r="K357">
        <f t="shared" si="16"/>
        <v>38.35</v>
      </c>
      <c r="L357">
        <f t="shared" si="17"/>
        <v>19.86</v>
      </c>
    </row>
    <row r="358" spans="1:12" x14ac:dyDescent="0.2">
      <c r="A358" t="s">
        <v>365</v>
      </c>
      <c r="B358" s="6">
        <v>45721</v>
      </c>
      <c r="C358" t="s">
        <v>512</v>
      </c>
      <c r="D358" t="s">
        <v>516</v>
      </c>
      <c r="E358" t="s">
        <v>521</v>
      </c>
      <c r="F358" t="s">
        <v>528</v>
      </c>
      <c r="G358">
        <v>3</v>
      </c>
      <c r="H358">
        <v>17.91</v>
      </c>
      <c r="I358">
        <v>9.5</v>
      </c>
      <c r="J358">
        <f t="shared" si="15"/>
        <v>53.730000000000004</v>
      </c>
      <c r="K358">
        <f t="shared" si="16"/>
        <v>44.230000000000004</v>
      </c>
      <c r="L358">
        <f t="shared" si="17"/>
        <v>28.5</v>
      </c>
    </row>
    <row r="359" spans="1:12" x14ac:dyDescent="0.2">
      <c r="A359" t="s">
        <v>366</v>
      </c>
      <c r="B359" s="6">
        <v>45719</v>
      </c>
      <c r="C359" t="s">
        <v>513</v>
      </c>
      <c r="D359" t="s">
        <v>517</v>
      </c>
      <c r="E359" t="s">
        <v>520</v>
      </c>
      <c r="F359" t="s">
        <v>531</v>
      </c>
      <c r="G359">
        <v>5</v>
      </c>
      <c r="H359">
        <v>58.56</v>
      </c>
      <c r="I359">
        <v>40.01</v>
      </c>
      <c r="J359">
        <f t="shared" si="15"/>
        <v>292.8</v>
      </c>
      <c r="K359">
        <f t="shared" si="16"/>
        <v>252.79000000000002</v>
      </c>
      <c r="L359">
        <f t="shared" si="17"/>
        <v>200.04999999999998</v>
      </c>
    </row>
    <row r="360" spans="1:12" x14ac:dyDescent="0.2">
      <c r="A360" t="s">
        <v>367</v>
      </c>
      <c r="B360" s="6">
        <v>45716</v>
      </c>
      <c r="C360" t="s">
        <v>513</v>
      </c>
      <c r="D360" t="s">
        <v>514</v>
      </c>
      <c r="E360" t="s">
        <v>520</v>
      </c>
      <c r="F360" t="s">
        <v>525</v>
      </c>
      <c r="G360">
        <v>5</v>
      </c>
      <c r="H360">
        <v>61.61</v>
      </c>
      <c r="I360">
        <v>24.77</v>
      </c>
      <c r="J360">
        <f t="shared" si="15"/>
        <v>308.05</v>
      </c>
      <c r="K360">
        <f t="shared" si="16"/>
        <v>283.28000000000003</v>
      </c>
      <c r="L360">
        <f t="shared" si="17"/>
        <v>123.85</v>
      </c>
    </row>
    <row r="361" spans="1:12" x14ac:dyDescent="0.2">
      <c r="A361" t="s">
        <v>368</v>
      </c>
      <c r="B361" s="6">
        <v>45765</v>
      </c>
      <c r="C361" t="s">
        <v>510</v>
      </c>
      <c r="D361" t="s">
        <v>515</v>
      </c>
      <c r="E361" t="s">
        <v>520</v>
      </c>
      <c r="F361" t="s">
        <v>531</v>
      </c>
      <c r="G361">
        <v>6</v>
      </c>
      <c r="H361">
        <v>55.86</v>
      </c>
      <c r="I361">
        <v>29.72</v>
      </c>
      <c r="J361">
        <f t="shared" si="15"/>
        <v>335.15999999999997</v>
      </c>
      <c r="K361">
        <f t="shared" si="16"/>
        <v>305.43999999999994</v>
      </c>
      <c r="L361">
        <f t="shared" si="17"/>
        <v>178.32</v>
      </c>
    </row>
    <row r="362" spans="1:12" x14ac:dyDescent="0.2">
      <c r="A362" t="s">
        <v>369</v>
      </c>
      <c r="B362" s="6">
        <v>45696</v>
      </c>
      <c r="C362" t="s">
        <v>509</v>
      </c>
      <c r="D362" t="s">
        <v>514</v>
      </c>
      <c r="E362" t="s">
        <v>520</v>
      </c>
      <c r="F362" t="s">
        <v>525</v>
      </c>
      <c r="G362">
        <v>8</v>
      </c>
      <c r="H362">
        <v>62.6</v>
      </c>
      <c r="I362">
        <v>30.94</v>
      </c>
      <c r="J362">
        <f t="shared" si="15"/>
        <v>500.8</v>
      </c>
      <c r="K362">
        <f t="shared" si="16"/>
        <v>469.86</v>
      </c>
      <c r="L362">
        <f t="shared" si="17"/>
        <v>247.52</v>
      </c>
    </row>
    <row r="363" spans="1:12" x14ac:dyDescent="0.2">
      <c r="A363" t="s">
        <v>370</v>
      </c>
      <c r="B363" s="6">
        <v>45695</v>
      </c>
      <c r="C363" t="s">
        <v>511</v>
      </c>
      <c r="D363" t="s">
        <v>514</v>
      </c>
      <c r="E363" t="s">
        <v>520</v>
      </c>
      <c r="F363" t="s">
        <v>531</v>
      </c>
      <c r="G363">
        <v>6</v>
      </c>
      <c r="H363">
        <v>67.66</v>
      </c>
      <c r="I363">
        <v>34.700000000000003</v>
      </c>
      <c r="J363">
        <f t="shared" si="15"/>
        <v>405.96</v>
      </c>
      <c r="K363">
        <f t="shared" si="16"/>
        <v>371.26</v>
      </c>
      <c r="L363">
        <f t="shared" si="17"/>
        <v>208.20000000000002</v>
      </c>
    </row>
    <row r="364" spans="1:12" x14ac:dyDescent="0.2">
      <c r="A364" t="s">
        <v>371</v>
      </c>
      <c r="B364" s="6">
        <v>45672</v>
      </c>
      <c r="C364" t="s">
        <v>510</v>
      </c>
      <c r="D364" t="s">
        <v>514</v>
      </c>
      <c r="E364" t="s">
        <v>520</v>
      </c>
      <c r="F364" t="s">
        <v>531</v>
      </c>
      <c r="G364">
        <v>3</v>
      </c>
      <c r="H364">
        <v>59.46</v>
      </c>
      <c r="I364">
        <v>35.94</v>
      </c>
      <c r="J364">
        <f t="shared" si="15"/>
        <v>178.38</v>
      </c>
      <c r="K364">
        <f t="shared" si="16"/>
        <v>142.44</v>
      </c>
      <c r="L364">
        <f t="shared" si="17"/>
        <v>107.82</v>
      </c>
    </row>
    <row r="365" spans="1:12" x14ac:dyDescent="0.2">
      <c r="A365" t="s">
        <v>372</v>
      </c>
      <c r="B365" s="6">
        <v>45778</v>
      </c>
      <c r="C365" t="s">
        <v>512</v>
      </c>
      <c r="D365" t="s">
        <v>515</v>
      </c>
      <c r="E365" t="s">
        <v>518</v>
      </c>
      <c r="F365" t="s">
        <v>537</v>
      </c>
      <c r="G365">
        <v>5</v>
      </c>
      <c r="H365">
        <v>27.01</v>
      </c>
      <c r="I365">
        <v>17.54</v>
      </c>
      <c r="J365">
        <f t="shared" si="15"/>
        <v>135.05000000000001</v>
      </c>
      <c r="K365">
        <f t="shared" si="16"/>
        <v>117.51000000000002</v>
      </c>
      <c r="L365">
        <f t="shared" si="17"/>
        <v>87.699999999999989</v>
      </c>
    </row>
    <row r="366" spans="1:12" x14ac:dyDescent="0.2">
      <c r="A366" t="s">
        <v>373</v>
      </c>
      <c r="B366" s="6">
        <v>45744</v>
      </c>
      <c r="C366" t="s">
        <v>511</v>
      </c>
      <c r="D366" t="s">
        <v>514</v>
      </c>
      <c r="E366" t="s">
        <v>518</v>
      </c>
      <c r="F366" t="s">
        <v>537</v>
      </c>
      <c r="G366">
        <v>5</v>
      </c>
      <c r="H366">
        <v>28.45</v>
      </c>
      <c r="I366">
        <v>13.45</v>
      </c>
      <c r="J366">
        <f t="shared" si="15"/>
        <v>142.25</v>
      </c>
      <c r="K366">
        <f t="shared" si="16"/>
        <v>128.80000000000001</v>
      </c>
      <c r="L366">
        <f t="shared" si="17"/>
        <v>67.25</v>
      </c>
    </row>
    <row r="367" spans="1:12" x14ac:dyDescent="0.2">
      <c r="A367" t="s">
        <v>374</v>
      </c>
      <c r="B367" s="6">
        <v>45759</v>
      </c>
      <c r="C367" t="s">
        <v>511</v>
      </c>
      <c r="D367" t="s">
        <v>516</v>
      </c>
      <c r="E367" t="s">
        <v>519</v>
      </c>
      <c r="F367" t="s">
        <v>526</v>
      </c>
      <c r="G367">
        <v>8</v>
      </c>
      <c r="H367">
        <v>17.989999999999998</v>
      </c>
      <c r="I367">
        <v>12.54</v>
      </c>
      <c r="J367">
        <f t="shared" si="15"/>
        <v>143.91999999999999</v>
      </c>
      <c r="K367">
        <f t="shared" si="16"/>
        <v>131.38</v>
      </c>
      <c r="L367">
        <f t="shared" si="17"/>
        <v>100.32</v>
      </c>
    </row>
    <row r="368" spans="1:12" x14ac:dyDescent="0.2">
      <c r="A368" t="s">
        <v>375</v>
      </c>
      <c r="B368" s="6">
        <v>45726</v>
      </c>
      <c r="C368" t="s">
        <v>510</v>
      </c>
      <c r="D368" t="s">
        <v>515</v>
      </c>
      <c r="E368" t="s">
        <v>520</v>
      </c>
      <c r="F368" t="s">
        <v>531</v>
      </c>
      <c r="G368">
        <v>1</v>
      </c>
      <c r="H368">
        <v>61.12</v>
      </c>
      <c r="I368">
        <v>38.950000000000003</v>
      </c>
      <c r="J368">
        <f t="shared" si="15"/>
        <v>61.12</v>
      </c>
      <c r="K368">
        <f t="shared" si="16"/>
        <v>22.169999999999995</v>
      </c>
      <c r="L368">
        <f t="shared" si="17"/>
        <v>38.950000000000003</v>
      </c>
    </row>
    <row r="369" spans="1:12" x14ac:dyDescent="0.2">
      <c r="A369" t="s">
        <v>376</v>
      </c>
      <c r="B369" s="6">
        <v>45671</v>
      </c>
      <c r="C369" t="s">
        <v>512</v>
      </c>
      <c r="D369" t="s">
        <v>517</v>
      </c>
      <c r="E369" t="s">
        <v>521</v>
      </c>
      <c r="F369" t="s">
        <v>527</v>
      </c>
      <c r="G369">
        <v>3</v>
      </c>
      <c r="H369">
        <v>18.059999999999999</v>
      </c>
      <c r="I369">
        <v>10.73</v>
      </c>
      <c r="J369">
        <f t="shared" si="15"/>
        <v>54.179999999999993</v>
      </c>
      <c r="K369">
        <f t="shared" si="16"/>
        <v>43.449999999999989</v>
      </c>
      <c r="L369">
        <f t="shared" si="17"/>
        <v>32.19</v>
      </c>
    </row>
    <row r="370" spans="1:12" x14ac:dyDescent="0.2">
      <c r="A370" t="s">
        <v>377</v>
      </c>
      <c r="B370" s="6">
        <v>45740</v>
      </c>
      <c r="C370" t="s">
        <v>511</v>
      </c>
      <c r="D370" t="s">
        <v>517</v>
      </c>
      <c r="E370" t="s">
        <v>518</v>
      </c>
      <c r="F370" t="s">
        <v>523</v>
      </c>
      <c r="G370">
        <v>7</v>
      </c>
      <c r="H370">
        <v>25.49</v>
      </c>
      <c r="I370">
        <v>11.01</v>
      </c>
      <c r="J370">
        <f t="shared" si="15"/>
        <v>178.42999999999998</v>
      </c>
      <c r="K370">
        <f t="shared" si="16"/>
        <v>167.42</v>
      </c>
      <c r="L370">
        <f t="shared" si="17"/>
        <v>77.069999999999993</v>
      </c>
    </row>
    <row r="371" spans="1:12" x14ac:dyDescent="0.2">
      <c r="A371" t="s">
        <v>378</v>
      </c>
      <c r="B371" s="6">
        <v>45686</v>
      </c>
      <c r="C371" t="s">
        <v>510</v>
      </c>
      <c r="D371" t="s">
        <v>514</v>
      </c>
      <c r="E371" t="s">
        <v>518</v>
      </c>
      <c r="F371" t="s">
        <v>533</v>
      </c>
      <c r="G371">
        <v>8</v>
      </c>
      <c r="H371">
        <v>21.13</v>
      </c>
      <c r="I371">
        <v>10.82</v>
      </c>
      <c r="J371">
        <f t="shared" si="15"/>
        <v>169.04</v>
      </c>
      <c r="K371">
        <f t="shared" si="16"/>
        <v>158.22</v>
      </c>
      <c r="L371">
        <f t="shared" si="17"/>
        <v>86.56</v>
      </c>
    </row>
    <row r="372" spans="1:12" x14ac:dyDescent="0.2">
      <c r="A372" t="s">
        <v>379</v>
      </c>
      <c r="B372" s="6">
        <v>45702</v>
      </c>
      <c r="C372" t="s">
        <v>513</v>
      </c>
      <c r="D372" t="s">
        <v>515</v>
      </c>
      <c r="E372" t="s">
        <v>520</v>
      </c>
      <c r="F372" t="s">
        <v>525</v>
      </c>
      <c r="G372">
        <v>2</v>
      </c>
      <c r="H372">
        <v>60.12</v>
      </c>
      <c r="I372">
        <v>29.38</v>
      </c>
      <c r="J372">
        <f t="shared" si="15"/>
        <v>120.24</v>
      </c>
      <c r="K372">
        <f t="shared" si="16"/>
        <v>90.86</v>
      </c>
      <c r="L372">
        <f t="shared" si="17"/>
        <v>58.76</v>
      </c>
    </row>
    <row r="373" spans="1:12" x14ac:dyDescent="0.2">
      <c r="A373" t="s">
        <v>380</v>
      </c>
      <c r="B373" s="6">
        <v>45764</v>
      </c>
      <c r="C373" t="s">
        <v>512</v>
      </c>
      <c r="D373" t="s">
        <v>517</v>
      </c>
      <c r="E373" t="s">
        <v>518</v>
      </c>
      <c r="F373" t="s">
        <v>522</v>
      </c>
      <c r="G373">
        <v>5</v>
      </c>
      <c r="H373">
        <v>27.49</v>
      </c>
      <c r="I373">
        <v>13.83</v>
      </c>
      <c r="J373">
        <f t="shared" si="15"/>
        <v>137.44999999999999</v>
      </c>
      <c r="K373">
        <f t="shared" si="16"/>
        <v>123.61999999999999</v>
      </c>
      <c r="L373">
        <f t="shared" si="17"/>
        <v>69.150000000000006</v>
      </c>
    </row>
    <row r="374" spans="1:12" x14ac:dyDescent="0.2">
      <c r="A374" t="s">
        <v>381</v>
      </c>
      <c r="B374" s="6">
        <v>45719</v>
      </c>
      <c r="C374" t="s">
        <v>509</v>
      </c>
      <c r="D374" t="s">
        <v>515</v>
      </c>
      <c r="E374" t="s">
        <v>519</v>
      </c>
      <c r="F374" t="s">
        <v>532</v>
      </c>
      <c r="G374">
        <v>2</v>
      </c>
      <c r="H374">
        <v>27.26</v>
      </c>
      <c r="I374">
        <v>14.49</v>
      </c>
      <c r="J374">
        <f t="shared" si="15"/>
        <v>54.52</v>
      </c>
      <c r="K374">
        <f t="shared" si="16"/>
        <v>40.03</v>
      </c>
      <c r="L374">
        <f t="shared" si="17"/>
        <v>28.98</v>
      </c>
    </row>
    <row r="375" spans="1:12" x14ac:dyDescent="0.2">
      <c r="A375" t="s">
        <v>382</v>
      </c>
      <c r="B375" s="6">
        <v>45666</v>
      </c>
      <c r="C375" t="s">
        <v>509</v>
      </c>
      <c r="D375" t="s">
        <v>516</v>
      </c>
      <c r="E375" t="s">
        <v>520</v>
      </c>
      <c r="F375" t="s">
        <v>531</v>
      </c>
      <c r="G375">
        <v>2</v>
      </c>
      <c r="H375">
        <v>64.8</v>
      </c>
      <c r="I375">
        <v>26.36</v>
      </c>
      <c r="J375">
        <f t="shared" si="15"/>
        <v>129.6</v>
      </c>
      <c r="K375">
        <f t="shared" si="16"/>
        <v>103.24</v>
      </c>
      <c r="L375">
        <f t="shared" si="17"/>
        <v>52.72</v>
      </c>
    </row>
    <row r="376" spans="1:12" x14ac:dyDescent="0.2">
      <c r="A376" t="s">
        <v>383</v>
      </c>
      <c r="B376" s="6">
        <v>45744</v>
      </c>
      <c r="C376" t="s">
        <v>512</v>
      </c>
      <c r="D376" t="s">
        <v>514</v>
      </c>
      <c r="E376" t="s">
        <v>521</v>
      </c>
      <c r="F376" t="s">
        <v>527</v>
      </c>
      <c r="G376">
        <v>3</v>
      </c>
      <c r="H376">
        <v>28.77</v>
      </c>
      <c r="I376">
        <v>16.27</v>
      </c>
      <c r="J376">
        <f t="shared" si="15"/>
        <v>86.31</v>
      </c>
      <c r="K376">
        <f t="shared" si="16"/>
        <v>70.040000000000006</v>
      </c>
      <c r="L376">
        <f t="shared" si="17"/>
        <v>48.81</v>
      </c>
    </row>
    <row r="377" spans="1:12" x14ac:dyDescent="0.2">
      <c r="A377" t="s">
        <v>384</v>
      </c>
      <c r="B377" s="6">
        <v>45717</v>
      </c>
      <c r="C377" t="s">
        <v>512</v>
      </c>
      <c r="D377" t="s">
        <v>515</v>
      </c>
      <c r="E377" t="s">
        <v>521</v>
      </c>
      <c r="F377" t="s">
        <v>530</v>
      </c>
      <c r="G377">
        <v>3</v>
      </c>
      <c r="H377">
        <v>14.16</v>
      </c>
      <c r="I377">
        <v>6.46</v>
      </c>
      <c r="J377">
        <f t="shared" si="15"/>
        <v>42.480000000000004</v>
      </c>
      <c r="K377">
        <f t="shared" si="16"/>
        <v>36.020000000000003</v>
      </c>
      <c r="L377">
        <f t="shared" si="17"/>
        <v>19.38</v>
      </c>
    </row>
    <row r="378" spans="1:12" x14ac:dyDescent="0.2">
      <c r="A378" t="s">
        <v>385</v>
      </c>
      <c r="B378" s="6">
        <v>45661</v>
      </c>
      <c r="C378" t="s">
        <v>510</v>
      </c>
      <c r="D378" t="s">
        <v>514</v>
      </c>
      <c r="E378" t="s">
        <v>520</v>
      </c>
      <c r="F378" t="s">
        <v>531</v>
      </c>
      <c r="G378">
        <v>8</v>
      </c>
      <c r="H378">
        <v>64.36</v>
      </c>
      <c r="I378">
        <v>37.18</v>
      </c>
      <c r="J378">
        <f t="shared" si="15"/>
        <v>514.88</v>
      </c>
      <c r="K378">
        <f t="shared" si="16"/>
        <v>477.7</v>
      </c>
      <c r="L378">
        <f t="shared" si="17"/>
        <v>297.44</v>
      </c>
    </row>
    <row r="379" spans="1:12" x14ac:dyDescent="0.2">
      <c r="A379" t="s">
        <v>386</v>
      </c>
      <c r="B379" s="6">
        <v>45748</v>
      </c>
      <c r="C379" t="s">
        <v>512</v>
      </c>
      <c r="D379" t="s">
        <v>514</v>
      </c>
      <c r="E379" t="s">
        <v>520</v>
      </c>
      <c r="F379" t="s">
        <v>525</v>
      </c>
      <c r="G379">
        <v>5</v>
      </c>
      <c r="H379">
        <v>60.92</v>
      </c>
      <c r="I379">
        <v>38.119999999999997</v>
      </c>
      <c r="J379">
        <f t="shared" si="15"/>
        <v>304.60000000000002</v>
      </c>
      <c r="K379">
        <f t="shared" si="16"/>
        <v>266.48</v>
      </c>
      <c r="L379">
        <f t="shared" si="17"/>
        <v>190.6</v>
      </c>
    </row>
    <row r="380" spans="1:12" x14ac:dyDescent="0.2">
      <c r="A380" t="s">
        <v>387</v>
      </c>
      <c r="B380" s="6">
        <v>45671</v>
      </c>
      <c r="C380" t="s">
        <v>510</v>
      </c>
      <c r="D380" t="s">
        <v>514</v>
      </c>
      <c r="E380" t="s">
        <v>518</v>
      </c>
      <c r="F380" t="s">
        <v>523</v>
      </c>
      <c r="G380">
        <v>6</v>
      </c>
      <c r="H380">
        <v>35.950000000000003</v>
      </c>
      <c r="I380">
        <v>17.899999999999999</v>
      </c>
      <c r="J380">
        <f t="shared" si="15"/>
        <v>215.70000000000002</v>
      </c>
      <c r="K380">
        <f t="shared" si="16"/>
        <v>197.8</v>
      </c>
      <c r="L380">
        <f t="shared" si="17"/>
        <v>107.39999999999999</v>
      </c>
    </row>
    <row r="381" spans="1:12" x14ac:dyDescent="0.2">
      <c r="A381" t="s">
        <v>388</v>
      </c>
      <c r="B381" s="6">
        <v>45691</v>
      </c>
      <c r="C381" t="s">
        <v>511</v>
      </c>
      <c r="D381" t="s">
        <v>517</v>
      </c>
      <c r="E381" t="s">
        <v>520</v>
      </c>
      <c r="F381" t="s">
        <v>525</v>
      </c>
      <c r="G381">
        <v>7</v>
      </c>
      <c r="H381">
        <v>55.96</v>
      </c>
      <c r="I381">
        <v>32.65</v>
      </c>
      <c r="J381">
        <f t="shared" si="15"/>
        <v>391.72</v>
      </c>
      <c r="K381">
        <f t="shared" si="16"/>
        <v>359.07000000000005</v>
      </c>
      <c r="L381">
        <f t="shared" si="17"/>
        <v>228.54999999999998</v>
      </c>
    </row>
    <row r="382" spans="1:12" x14ac:dyDescent="0.2">
      <c r="A382" t="s">
        <v>389</v>
      </c>
      <c r="B382" s="6">
        <v>45703</v>
      </c>
      <c r="C382" t="s">
        <v>511</v>
      </c>
      <c r="D382" t="s">
        <v>514</v>
      </c>
      <c r="E382" t="s">
        <v>518</v>
      </c>
      <c r="F382" t="s">
        <v>533</v>
      </c>
      <c r="G382">
        <v>5</v>
      </c>
      <c r="H382">
        <v>20.8</v>
      </c>
      <c r="I382">
        <v>14.05</v>
      </c>
      <c r="J382">
        <f t="shared" si="15"/>
        <v>104</v>
      </c>
      <c r="K382">
        <f t="shared" si="16"/>
        <v>89.95</v>
      </c>
      <c r="L382">
        <f t="shared" si="17"/>
        <v>70.25</v>
      </c>
    </row>
    <row r="383" spans="1:12" x14ac:dyDescent="0.2">
      <c r="A383" t="s">
        <v>390</v>
      </c>
      <c r="B383" s="6">
        <v>45698</v>
      </c>
      <c r="C383" t="s">
        <v>513</v>
      </c>
      <c r="D383" t="s">
        <v>514</v>
      </c>
      <c r="E383" t="s">
        <v>518</v>
      </c>
      <c r="F383" t="s">
        <v>536</v>
      </c>
      <c r="G383">
        <v>5</v>
      </c>
      <c r="H383">
        <v>22</v>
      </c>
      <c r="I383">
        <v>9.57</v>
      </c>
      <c r="J383">
        <f t="shared" si="15"/>
        <v>110</v>
      </c>
      <c r="K383">
        <f t="shared" si="16"/>
        <v>100.43</v>
      </c>
      <c r="L383">
        <f t="shared" si="17"/>
        <v>47.85</v>
      </c>
    </row>
    <row r="384" spans="1:12" x14ac:dyDescent="0.2">
      <c r="A384" t="s">
        <v>391</v>
      </c>
      <c r="B384" s="6">
        <v>45723</v>
      </c>
      <c r="C384" t="s">
        <v>511</v>
      </c>
      <c r="D384" t="s">
        <v>515</v>
      </c>
      <c r="E384" t="s">
        <v>521</v>
      </c>
      <c r="F384" t="s">
        <v>529</v>
      </c>
      <c r="G384">
        <v>3</v>
      </c>
      <c r="H384">
        <v>7.38</v>
      </c>
      <c r="I384">
        <v>4.22</v>
      </c>
      <c r="J384">
        <f t="shared" si="15"/>
        <v>22.14</v>
      </c>
      <c r="K384">
        <f t="shared" si="16"/>
        <v>17.920000000000002</v>
      </c>
      <c r="L384">
        <f t="shared" si="17"/>
        <v>12.66</v>
      </c>
    </row>
    <row r="385" spans="1:12" x14ac:dyDescent="0.2">
      <c r="A385" t="s">
        <v>392</v>
      </c>
      <c r="B385" s="6">
        <v>45720</v>
      </c>
      <c r="C385" t="s">
        <v>510</v>
      </c>
      <c r="D385" t="s">
        <v>514</v>
      </c>
      <c r="E385" t="s">
        <v>520</v>
      </c>
      <c r="F385" t="s">
        <v>525</v>
      </c>
      <c r="G385">
        <v>3</v>
      </c>
      <c r="H385">
        <v>57.37</v>
      </c>
      <c r="I385">
        <v>31.38</v>
      </c>
      <c r="J385">
        <f t="shared" si="15"/>
        <v>172.10999999999999</v>
      </c>
      <c r="K385">
        <f t="shared" si="16"/>
        <v>140.72999999999999</v>
      </c>
      <c r="L385">
        <f t="shared" si="17"/>
        <v>94.14</v>
      </c>
    </row>
    <row r="386" spans="1:12" x14ac:dyDescent="0.2">
      <c r="A386" t="s">
        <v>393</v>
      </c>
      <c r="B386" s="6">
        <v>45698</v>
      </c>
      <c r="C386" t="s">
        <v>511</v>
      </c>
      <c r="D386" t="s">
        <v>516</v>
      </c>
      <c r="E386" t="s">
        <v>519</v>
      </c>
      <c r="F386" t="s">
        <v>524</v>
      </c>
      <c r="G386">
        <v>6</v>
      </c>
      <c r="H386">
        <v>16.2</v>
      </c>
      <c r="I386">
        <v>11.11</v>
      </c>
      <c r="J386">
        <f t="shared" ref="J386:J449" si="18">(G386*H386)</f>
        <v>97.199999999999989</v>
      </c>
      <c r="K386">
        <f t="shared" ref="K386:K449" si="19">(J386-I386)</f>
        <v>86.089999999999989</v>
      </c>
      <c r="L386">
        <f t="shared" si="17"/>
        <v>66.66</v>
      </c>
    </row>
    <row r="387" spans="1:12" x14ac:dyDescent="0.2">
      <c r="A387" t="s">
        <v>394</v>
      </c>
      <c r="B387" s="6">
        <v>45682</v>
      </c>
      <c r="C387" t="s">
        <v>511</v>
      </c>
      <c r="D387" t="s">
        <v>515</v>
      </c>
      <c r="E387" t="s">
        <v>520</v>
      </c>
      <c r="F387" t="s">
        <v>525</v>
      </c>
      <c r="G387">
        <v>7</v>
      </c>
      <c r="H387">
        <v>60.75</v>
      </c>
      <c r="I387">
        <v>36.78</v>
      </c>
      <c r="J387">
        <f t="shared" si="18"/>
        <v>425.25</v>
      </c>
      <c r="K387">
        <f t="shared" si="19"/>
        <v>388.47</v>
      </c>
      <c r="L387">
        <f t="shared" ref="L387:L450" si="20">(G387*I387)</f>
        <v>257.46000000000004</v>
      </c>
    </row>
    <row r="388" spans="1:12" x14ac:dyDescent="0.2">
      <c r="A388" t="s">
        <v>395</v>
      </c>
      <c r="B388" s="6">
        <v>45720</v>
      </c>
      <c r="C388" t="s">
        <v>512</v>
      </c>
      <c r="D388" t="s">
        <v>516</v>
      </c>
      <c r="E388" t="s">
        <v>520</v>
      </c>
      <c r="F388" t="s">
        <v>531</v>
      </c>
      <c r="G388">
        <v>1</v>
      </c>
      <c r="H388">
        <v>61.71</v>
      </c>
      <c r="I388">
        <v>39.42</v>
      </c>
      <c r="J388">
        <f t="shared" si="18"/>
        <v>61.71</v>
      </c>
      <c r="K388">
        <f t="shared" si="19"/>
        <v>22.29</v>
      </c>
      <c r="L388">
        <f t="shared" si="20"/>
        <v>39.42</v>
      </c>
    </row>
    <row r="389" spans="1:12" x14ac:dyDescent="0.2">
      <c r="A389" t="s">
        <v>396</v>
      </c>
      <c r="B389" s="6">
        <v>45662</v>
      </c>
      <c r="C389" t="s">
        <v>509</v>
      </c>
      <c r="D389" t="s">
        <v>514</v>
      </c>
      <c r="E389" t="s">
        <v>519</v>
      </c>
      <c r="F389" t="s">
        <v>534</v>
      </c>
      <c r="G389">
        <v>5</v>
      </c>
      <c r="H389">
        <v>29.38</v>
      </c>
      <c r="I389">
        <v>13.23</v>
      </c>
      <c r="J389">
        <f t="shared" si="18"/>
        <v>146.9</v>
      </c>
      <c r="K389">
        <f t="shared" si="19"/>
        <v>133.67000000000002</v>
      </c>
      <c r="L389">
        <f t="shared" si="20"/>
        <v>66.150000000000006</v>
      </c>
    </row>
    <row r="390" spans="1:12" x14ac:dyDescent="0.2">
      <c r="A390" t="s">
        <v>397</v>
      </c>
      <c r="B390" s="6">
        <v>45728</v>
      </c>
      <c r="C390" t="s">
        <v>510</v>
      </c>
      <c r="D390" t="s">
        <v>516</v>
      </c>
      <c r="E390" t="s">
        <v>520</v>
      </c>
      <c r="F390" t="s">
        <v>531</v>
      </c>
      <c r="G390">
        <v>2</v>
      </c>
      <c r="H390">
        <v>64.75</v>
      </c>
      <c r="I390">
        <v>31.1</v>
      </c>
      <c r="J390">
        <f t="shared" si="18"/>
        <v>129.5</v>
      </c>
      <c r="K390">
        <f t="shared" si="19"/>
        <v>98.4</v>
      </c>
      <c r="L390">
        <f t="shared" si="20"/>
        <v>62.2</v>
      </c>
    </row>
    <row r="391" spans="1:12" x14ac:dyDescent="0.2">
      <c r="A391" t="s">
        <v>398</v>
      </c>
      <c r="B391" s="6">
        <v>45755</v>
      </c>
      <c r="C391" t="s">
        <v>511</v>
      </c>
      <c r="D391" t="s">
        <v>514</v>
      </c>
      <c r="E391" t="s">
        <v>521</v>
      </c>
      <c r="F391" t="s">
        <v>527</v>
      </c>
      <c r="G391">
        <v>7</v>
      </c>
      <c r="H391">
        <v>15.12</v>
      </c>
      <c r="I391">
        <v>6.51</v>
      </c>
      <c r="J391">
        <f t="shared" si="18"/>
        <v>105.83999999999999</v>
      </c>
      <c r="K391">
        <f t="shared" si="19"/>
        <v>99.329999999999984</v>
      </c>
      <c r="L391">
        <f t="shared" si="20"/>
        <v>45.57</v>
      </c>
    </row>
    <row r="392" spans="1:12" x14ac:dyDescent="0.2">
      <c r="A392" t="s">
        <v>399</v>
      </c>
      <c r="B392" s="6">
        <v>45769</v>
      </c>
      <c r="C392" t="s">
        <v>513</v>
      </c>
      <c r="D392" t="s">
        <v>515</v>
      </c>
      <c r="E392" t="s">
        <v>519</v>
      </c>
      <c r="F392" t="s">
        <v>534</v>
      </c>
      <c r="G392">
        <v>5</v>
      </c>
      <c r="H392">
        <v>15.51</v>
      </c>
      <c r="I392">
        <v>7.83</v>
      </c>
      <c r="J392">
        <f t="shared" si="18"/>
        <v>77.55</v>
      </c>
      <c r="K392">
        <f t="shared" si="19"/>
        <v>69.72</v>
      </c>
      <c r="L392">
        <f t="shared" si="20"/>
        <v>39.15</v>
      </c>
    </row>
    <row r="393" spans="1:12" x14ac:dyDescent="0.2">
      <c r="A393" t="s">
        <v>400</v>
      </c>
      <c r="B393" s="6">
        <v>45768</v>
      </c>
      <c r="C393" t="s">
        <v>513</v>
      </c>
      <c r="D393" t="s">
        <v>514</v>
      </c>
      <c r="E393" t="s">
        <v>518</v>
      </c>
      <c r="F393" t="s">
        <v>537</v>
      </c>
      <c r="G393">
        <v>4</v>
      </c>
      <c r="H393">
        <v>27.46</v>
      </c>
      <c r="I393">
        <v>17.66</v>
      </c>
      <c r="J393">
        <f t="shared" si="18"/>
        <v>109.84</v>
      </c>
      <c r="K393">
        <f t="shared" si="19"/>
        <v>92.18</v>
      </c>
      <c r="L393">
        <f t="shared" si="20"/>
        <v>70.64</v>
      </c>
    </row>
    <row r="394" spans="1:12" x14ac:dyDescent="0.2">
      <c r="A394" t="s">
        <v>401</v>
      </c>
      <c r="B394" s="6">
        <v>45679</v>
      </c>
      <c r="C394" t="s">
        <v>510</v>
      </c>
      <c r="D394" t="s">
        <v>514</v>
      </c>
      <c r="E394" t="s">
        <v>521</v>
      </c>
      <c r="F394" t="s">
        <v>530</v>
      </c>
      <c r="G394">
        <v>4</v>
      </c>
      <c r="H394">
        <v>11.4</v>
      </c>
      <c r="I394">
        <v>7.34</v>
      </c>
      <c r="J394">
        <f t="shared" si="18"/>
        <v>45.6</v>
      </c>
      <c r="K394">
        <f t="shared" si="19"/>
        <v>38.260000000000005</v>
      </c>
      <c r="L394">
        <f t="shared" si="20"/>
        <v>29.36</v>
      </c>
    </row>
    <row r="395" spans="1:12" x14ac:dyDescent="0.2">
      <c r="A395" t="s">
        <v>402</v>
      </c>
      <c r="B395" s="6">
        <v>45702</v>
      </c>
      <c r="C395" t="s">
        <v>510</v>
      </c>
      <c r="D395" t="s">
        <v>517</v>
      </c>
      <c r="E395" t="s">
        <v>518</v>
      </c>
      <c r="F395" t="s">
        <v>523</v>
      </c>
      <c r="G395">
        <v>3</v>
      </c>
      <c r="H395">
        <v>34.159999999999997</v>
      </c>
      <c r="I395">
        <v>16.98</v>
      </c>
      <c r="J395">
        <f t="shared" si="18"/>
        <v>102.47999999999999</v>
      </c>
      <c r="K395">
        <f t="shared" si="19"/>
        <v>85.499999999999986</v>
      </c>
      <c r="L395">
        <f t="shared" si="20"/>
        <v>50.94</v>
      </c>
    </row>
    <row r="396" spans="1:12" x14ac:dyDescent="0.2">
      <c r="A396" t="s">
        <v>403</v>
      </c>
      <c r="B396" s="6">
        <v>45731</v>
      </c>
      <c r="C396" t="s">
        <v>509</v>
      </c>
      <c r="D396" t="s">
        <v>516</v>
      </c>
      <c r="E396" t="s">
        <v>521</v>
      </c>
      <c r="F396" t="s">
        <v>528</v>
      </c>
      <c r="G396">
        <v>3</v>
      </c>
      <c r="H396">
        <v>23.9</v>
      </c>
      <c r="I396">
        <v>16.46</v>
      </c>
      <c r="J396">
        <f t="shared" si="18"/>
        <v>71.699999999999989</v>
      </c>
      <c r="K396">
        <f t="shared" si="19"/>
        <v>55.239999999999988</v>
      </c>
      <c r="L396">
        <f t="shared" si="20"/>
        <v>49.38</v>
      </c>
    </row>
    <row r="397" spans="1:12" x14ac:dyDescent="0.2">
      <c r="A397" t="s">
        <v>404</v>
      </c>
      <c r="B397" s="6">
        <v>45693</v>
      </c>
      <c r="C397" t="s">
        <v>512</v>
      </c>
      <c r="D397" t="s">
        <v>514</v>
      </c>
      <c r="E397" t="s">
        <v>520</v>
      </c>
      <c r="F397" t="s">
        <v>525</v>
      </c>
      <c r="G397">
        <v>4</v>
      </c>
      <c r="H397">
        <v>57.65</v>
      </c>
      <c r="I397">
        <v>25.59</v>
      </c>
      <c r="J397">
        <f t="shared" si="18"/>
        <v>230.6</v>
      </c>
      <c r="K397">
        <f t="shared" si="19"/>
        <v>205.01</v>
      </c>
      <c r="L397">
        <f t="shared" si="20"/>
        <v>102.36</v>
      </c>
    </row>
    <row r="398" spans="1:12" x14ac:dyDescent="0.2">
      <c r="A398" t="s">
        <v>405</v>
      </c>
      <c r="B398" s="6">
        <v>45755</v>
      </c>
      <c r="C398" t="s">
        <v>511</v>
      </c>
      <c r="D398" t="s">
        <v>515</v>
      </c>
      <c r="E398" t="s">
        <v>521</v>
      </c>
      <c r="F398" t="s">
        <v>529</v>
      </c>
      <c r="G398">
        <v>3</v>
      </c>
      <c r="H398">
        <v>9.43</v>
      </c>
      <c r="I398">
        <v>5.41</v>
      </c>
      <c r="J398">
        <f t="shared" si="18"/>
        <v>28.29</v>
      </c>
      <c r="K398">
        <f t="shared" si="19"/>
        <v>22.88</v>
      </c>
      <c r="L398">
        <f t="shared" si="20"/>
        <v>16.23</v>
      </c>
    </row>
    <row r="399" spans="1:12" x14ac:dyDescent="0.2">
      <c r="A399" t="s">
        <v>406</v>
      </c>
      <c r="B399" s="6">
        <v>45706</v>
      </c>
      <c r="C399" t="s">
        <v>511</v>
      </c>
      <c r="D399" t="s">
        <v>516</v>
      </c>
      <c r="E399" t="s">
        <v>521</v>
      </c>
      <c r="F399" t="s">
        <v>530</v>
      </c>
      <c r="G399">
        <v>2</v>
      </c>
      <c r="H399">
        <v>24.77</v>
      </c>
      <c r="I399">
        <v>12.9</v>
      </c>
      <c r="J399">
        <f t="shared" si="18"/>
        <v>49.54</v>
      </c>
      <c r="K399">
        <f t="shared" si="19"/>
        <v>36.64</v>
      </c>
      <c r="L399">
        <f t="shared" si="20"/>
        <v>25.8</v>
      </c>
    </row>
    <row r="400" spans="1:12" x14ac:dyDescent="0.2">
      <c r="A400" t="s">
        <v>407</v>
      </c>
      <c r="B400" s="6">
        <v>45716</v>
      </c>
      <c r="C400" t="s">
        <v>511</v>
      </c>
      <c r="D400" t="s">
        <v>517</v>
      </c>
      <c r="E400" t="s">
        <v>521</v>
      </c>
      <c r="F400" t="s">
        <v>528</v>
      </c>
      <c r="G400">
        <v>1</v>
      </c>
      <c r="H400">
        <v>17.43</v>
      </c>
      <c r="I400">
        <v>11.52</v>
      </c>
      <c r="J400">
        <f t="shared" si="18"/>
        <v>17.43</v>
      </c>
      <c r="K400">
        <f t="shared" si="19"/>
        <v>5.91</v>
      </c>
      <c r="L400">
        <f t="shared" si="20"/>
        <v>11.52</v>
      </c>
    </row>
    <row r="401" spans="1:12" x14ac:dyDescent="0.2">
      <c r="A401" t="s">
        <v>408</v>
      </c>
      <c r="B401" s="6">
        <v>45739</v>
      </c>
      <c r="C401" t="s">
        <v>509</v>
      </c>
      <c r="D401" t="s">
        <v>516</v>
      </c>
      <c r="E401" t="s">
        <v>518</v>
      </c>
      <c r="F401" t="s">
        <v>537</v>
      </c>
      <c r="G401">
        <v>7</v>
      </c>
      <c r="H401">
        <v>31.19</v>
      </c>
      <c r="I401">
        <v>14.51</v>
      </c>
      <c r="J401">
        <f t="shared" si="18"/>
        <v>218.33</v>
      </c>
      <c r="K401">
        <f t="shared" si="19"/>
        <v>203.82000000000002</v>
      </c>
      <c r="L401">
        <f t="shared" si="20"/>
        <v>101.57</v>
      </c>
    </row>
    <row r="402" spans="1:12" x14ac:dyDescent="0.2">
      <c r="A402" t="s">
        <v>409</v>
      </c>
      <c r="B402" s="6">
        <v>45721</v>
      </c>
      <c r="C402" t="s">
        <v>509</v>
      </c>
      <c r="D402" t="s">
        <v>517</v>
      </c>
      <c r="E402" t="s">
        <v>520</v>
      </c>
      <c r="F402" t="s">
        <v>525</v>
      </c>
      <c r="G402">
        <v>5</v>
      </c>
      <c r="H402">
        <v>52.03</v>
      </c>
      <c r="I402">
        <v>26.08</v>
      </c>
      <c r="J402">
        <f t="shared" si="18"/>
        <v>260.14999999999998</v>
      </c>
      <c r="K402">
        <f t="shared" si="19"/>
        <v>234.07</v>
      </c>
      <c r="L402">
        <f t="shared" si="20"/>
        <v>130.39999999999998</v>
      </c>
    </row>
    <row r="403" spans="1:12" x14ac:dyDescent="0.2">
      <c r="A403" t="s">
        <v>410</v>
      </c>
      <c r="B403" s="6">
        <v>45767</v>
      </c>
      <c r="C403" t="s">
        <v>511</v>
      </c>
      <c r="D403" t="s">
        <v>517</v>
      </c>
      <c r="E403" t="s">
        <v>519</v>
      </c>
      <c r="F403" t="s">
        <v>532</v>
      </c>
      <c r="G403">
        <v>1</v>
      </c>
      <c r="H403">
        <v>17</v>
      </c>
      <c r="I403">
        <v>7.03</v>
      </c>
      <c r="J403">
        <f t="shared" si="18"/>
        <v>17</v>
      </c>
      <c r="K403">
        <f t="shared" si="19"/>
        <v>9.9699999999999989</v>
      </c>
      <c r="L403">
        <f t="shared" si="20"/>
        <v>7.03</v>
      </c>
    </row>
    <row r="404" spans="1:12" x14ac:dyDescent="0.2">
      <c r="A404" t="s">
        <v>411</v>
      </c>
      <c r="B404" s="6">
        <v>45673</v>
      </c>
      <c r="C404" t="s">
        <v>512</v>
      </c>
      <c r="D404" t="s">
        <v>515</v>
      </c>
      <c r="E404" t="s">
        <v>520</v>
      </c>
      <c r="F404" t="s">
        <v>525</v>
      </c>
      <c r="G404">
        <v>8</v>
      </c>
      <c r="H404">
        <v>60.03</v>
      </c>
      <c r="I404">
        <v>24.02</v>
      </c>
      <c r="J404">
        <f t="shared" si="18"/>
        <v>480.24</v>
      </c>
      <c r="K404">
        <f t="shared" si="19"/>
        <v>456.22</v>
      </c>
      <c r="L404">
        <f t="shared" si="20"/>
        <v>192.16</v>
      </c>
    </row>
    <row r="405" spans="1:12" x14ac:dyDescent="0.2">
      <c r="A405" t="s">
        <v>412</v>
      </c>
      <c r="B405" s="6">
        <v>45746</v>
      </c>
      <c r="C405" t="s">
        <v>512</v>
      </c>
      <c r="D405" t="s">
        <v>517</v>
      </c>
      <c r="E405" t="s">
        <v>520</v>
      </c>
      <c r="F405" t="s">
        <v>525</v>
      </c>
      <c r="G405">
        <v>3</v>
      </c>
      <c r="H405">
        <v>60.23</v>
      </c>
      <c r="I405">
        <v>39.89</v>
      </c>
      <c r="J405">
        <f t="shared" si="18"/>
        <v>180.69</v>
      </c>
      <c r="K405">
        <f t="shared" si="19"/>
        <v>140.80000000000001</v>
      </c>
      <c r="L405">
        <f t="shared" si="20"/>
        <v>119.67</v>
      </c>
    </row>
    <row r="406" spans="1:12" x14ac:dyDescent="0.2">
      <c r="A406" t="s">
        <v>413</v>
      </c>
      <c r="B406" s="6">
        <v>45741</v>
      </c>
      <c r="C406" t="s">
        <v>509</v>
      </c>
      <c r="D406" t="s">
        <v>517</v>
      </c>
      <c r="E406" t="s">
        <v>521</v>
      </c>
      <c r="F406" t="s">
        <v>527</v>
      </c>
      <c r="G406">
        <v>2</v>
      </c>
      <c r="H406">
        <v>15.75</v>
      </c>
      <c r="I406">
        <v>8.06</v>
      </c>
      <c r="J406">
        <f t="shared" si="18"/>
        <v>31.5</v>
      </c>
      <c r="K406">
        <f t="shared" si="19"/>
        <v>23.439999999999998</v>
      </c>
      <c r="L406">
        <f t="shared" si="20"/>
        <v>16.12</v>
      </c>
    </row>
    <row r="407" spans="1:12" x14ac:dyDescent="0.2">
      <c r="A407" t="s">
        <v>414</v>
      </c>
      <c r="B407" s="6">
        <v>45708</v>
      </c>
      <c r="C407" t="s">
        <v>509</v>
      </c>
      <c r="D407" t="s">
        <v>514</v>
      </c>
      <c r="E407" t="s">
        <v>519</v>
      </c>
      <c r="F407" t="s">
        <v>535</v>
      </c>
      <c r="G407">
        <v>7</v>
      </c>
      <c r="H407">
        <v>23.11</v>
      </c>
      <c r="I407">
        <v>13.79</v>
      </c>
      <c r="J407">
        <f t="shared" si="18"/>
        <v>161.76999999999998</v>
      </c>
      <c r="K407">
        <f t="shared" si="19"/>
        <v>147.97999999999999</v>
      </c>
      <c r="L407">
        <f t="shared" si="20"/>
        <v>96.53</v>
      </c>
    </row>
    <row r="408" spans="1:12" x14ac:dyDescent="0.2">
      <c r="A408" t="s">
        <v>415</v>
      </c>
      <c r="B408" s="6">
        <v>45685</v>
      </c>
      <c r="C408" t="s">
        <v>511</v>
      </c>
      <c r="D408" t="s">
        <v>516</v>
      </c>
      <c r="E408" t="s">
        <v>518</v>
      </c>
      <c r="F408" t="s">
        <v>522</v>
      </c>
      <c r="G408">
        <v>3</v>
      </c>
      <c r="H408">
        <v>19.66</v>
      </c>
      <c r="I408">
        <v>11.37</v>
      </c>
      <c r="J408">
        <f t="shared" si="18"/>
        <v>58.980000000000004</v>
      </c>
      <c r="K408">
        <f t="shared" si="19"/>
        <v>47.610000000000007</v>
      </c>
      <c r="L408">
        <f t="shared" si="20"/>
        <v>34.11</v>
      </c>
    </row>
    <row r="409" spans="1:12" x14ac:dyDescent="0.2">
      <c r="A409" t="s">
        <v>416</v>
      </c>
      <c r="B409" s="6">
        <v>45659</v>
      </c>
      <c r="C409" t="s">
        <v>509</v>
      </c>
      <c r="D409" t="s">
        <v>516</v>
      </c>
      <c r="E409" t="s">
        <v>520</v>
      </c>
      <c r="F409" t="s">
        <v>525</v>
      </c>
      <c r="G409">
        <v>7</v>
      </c>
      <c r="H409">
        <v>59.29</v>
      </c>
      <c r="I409">
        <v>36.06</v>
      </c>
      <c r="J409">
        <f t="shared" si="18"/>
        <v>415.03</v>
      </c>
      <c r="K409">
        <f t="shared" si="19"/>
        <v>378.96999999999997</v>
      </c>
      <c r="L409">
        <f t="shared" si="20"/>
        <v>252.42000000000002</v>
      </c>
    </row>
    <row r="410" spans="1:12" x14ac:dyDescent="0.2">
      <c r="A410" t="s">
        <v>417</v>
      </c>
      <c r="B410" s="6">
        <v>45687</v>
      </c>
      <c r="C410" t="s">
        <v>511</v>
      </c>
      <c r="D410" t="s">
        <v>516</v>
      </c>
      <c r="E410" t="s">
        <v>520</v>
      </c>
      <c r="F410" t="s">
        <v>525</v>
      </c>
      <c r="G410">
        <v>2</v>
      </c>
      <c r="H410">
        <v>60.6</v>
      </c>
      <c r="I410">
        <v>26.12</v>
      </c>
      <c r="J410">
        <f t="shared" si="18"/>
        <v>121.2</v>
      </c>
      <c r="K410">
        <f t="shared" si="19"/>
        <v>95.08</v>
      </c>
      <c r="L410">
        <f t="shared" si="20"/>
        <v>52.24</v>
      </c>
    </row>
    <row r="411" spans="1:12" x14ac:dyDescent="0.2">
      <c r="A411" t="s">
        <v>418</v>
      </c>
      <c r="B411" s="6">
        <v>45675</v>
      </c>
      <c r="C411" t="s">
        <v>511</v>
      </c>
      <c r="D411" t="s">
        <v>514</v>
      </c>
      <c r="E411" t="s">
        <v>521</v>
      </c>
      <c r="F411" t="s">
        <v>528</v>
      </c>
      <c r="G411">
        <v>3</v>
      </c>
      <c r="H411">
        <v>20.57</v>
      </c>
      <c r="I411">
        <v>8.65</v>
      </c>
      <c r="J411">
        <f t="shared" si="18"/>
        <v>61.71</v>
      </c>
      <c r="K411">
        <f t="shared" si="19"/>
        <v>53.06</v>
      </c>
      <c r="L411">
        <f t="shared" si="20"/>
        <v>25.950000000000003</v>
      </c>
    </row>
    <row r="412" spans="1:12" x14ac:dyDescent="0.2">
      <c r="A412" t="s">
        <v>419</v>
      </c>
      <c r="B412" s="6">
        <v>45741</v>
      </c>
      <c r="C412" t="s">
        <v>512</v>
      </c>
      <c r="D412" t="s">
        <v>515</v>
      </c>
      <c r="E412" t="s">
        <v>518</v>
      </c>
      <c r="F412" t="s">
        <v>523</v>
      </c>
      <c r="G412">
        <v>6</v>
      </c>
      <c r="H412">
        <v>28.56</v>
      </c>
      <c r="I412">
        <v>17.61</v>
      </c>
      <c r="J412">
        <f t="shared" si="18"/>
        <v>171.35999999999999</v>
      </c>
      <c r="K412">
        <f t="shared" si="19"/>
        <v>153.75</v>
      </c>
      <c r="L412">
        <f t="shared" si="20"/>
        <v>105.66</v>
      </c>
    </row>
    <row r="413" spans="1:12" x14ac:dyDescent="0.2">
      <c r="A413" t="s">
        <v>420</v>
      </c>
      <c r="B413" s="6">
        <v>45736</v>
      </c>
      <c r="C413" t="s">
        <v>511</v>
      </c>
      <c r="D413" t="s">
        <v>514</v>
      </c>
      <c r="E413" t="s">
        <v>519</v>
      </c>
      <c r="F413" t="s">
        <v>526</v>
      </c>
      <c r="G413">
        <v>2</v>
      </c>
      <c r="H413">
        <v>14.38</v>
      </c>
      <c r="I413">
        <v>9.6199999999999992</v>
      </c>
      <c r="J413">
        <f t="shared" si="18"/>
        <v>28.76</v>
      </c>
      <c r="K413">
        <f t="shared" si="19"/>
        <v>19.14</v>
      </c>
      <c r="L413">
        <f t="shared" si="20"/>
        <v>19.239999999999998</v>
      </c>
    </row>
    <row r="414" spans="1:12" x14ac:dyDescent="0.2">
      <c r="A414" t="s">
        <v>421</v>
      </c>
      <c r="B414" s="6">
        <v>45733</v>
      </c>
      <c r="C414" t="s">
        <v>511</v>
      </c>
      <c r="D414" t="s">
        <v>517</v>
      </c>
      <c r="E414" t="s">
        <v>519</v>
      </c>
      <c r="F414" t="s">
        <v>535</v>
      </c>
      <c r="G414">
        <v>7</v>
      </c>
      <c r="H414">
        <v>12.33</v>
      </c>
      <c r="I414">
        <v>6.1</v>
      </c>
      <c r="J414">
        <f t="shared" si="18"/>
        <v>86.31</v>
      </c>
      <c r="K414">
        <f t="shared" si="19"/>
        <v>80.210000000000008</v>
      </c>
      <c r="L414">
        <f t="shared" si="20"/>
        <v>42.699999999999996</v>
      </c>
    </row>
    <row r="415" spans="1:12" x14ac:dyDescent="0.2">
      <c r="A415" t="s">
        <v>422</v>
      </c>
      <c r="B415" s="6">
        <v>45693</v>
      </c>
      <c r="C415" t="s">
        <v>513</v>
      </c>
      <c r="D415" t="s">
        <v>514</v>
      </c>
      <c r="E415" t="s">
        <v>519</v>
      </c>
      <c r="F415" t="s">
        <v>524</v>
      </c>
      <c r="G415">
        <v>5</v>
      </c>
      <c r="H415">
        <v>26.39</v>
      </c>
      <c r="I415">
        <v>16.72</v>
      </c>
      <c r="J415">
        <f t="shared" si="18"/>
        <v>131.94999999999999</v>
      </c>
      <c r="K415">
        <f t="shared" si="19"/>
        <v>115.22999999999999</v>
      </c>
      <c r="L415">
        <f t="shared" si="20"/>
        <v>83.6</v>
      </c>
    </row>
    <row r="416" spans="1:12" x14ac:dyDescent="0.2">
      <c r="A416" t="s">
        <v>423</v>
      </c>
      <c r="B416" s="6">
        <v>45684</v>
      </c>
      <c r="C416" t="s">
        <v>510</v>
      </c>
      <c r="D416" t="s">
        <v>514</v>
      </c>
      <c r="E416" t="s">
        <v>518</v>
      </c>
      <c r="F416" t="s">
        <v>533</v>
      </c>
      <c r="G416">
        <v>7</v>
      </c>
      <c r="H416">
        <v>26.66</v>
      </c>
      <c r="I416">
        <v>13.03</v>
      </c>
      <c r="J416">
        <f t="shared" si="18"/>
        <v>186.62</v>
      </c>
      <c r="K416">
        <f t="shared" si="19"/>
        <v>173.59</v>
      </c>
      <c r="L416">
        <f t="shared" si="20"/>
        <v>91.21</v>
      </c>
    </row>
    <row r="417" spans="1:12" x14ac:dyDescent="0.2">
      <c r="A417" t="s">
        <v>424</v>
      </c>
      <c r="B417" s="6">
        <v>45721</v>
      </c>
      <c r="C417" t="s">
        <v>511</v>
      </c>
      <c r="D417" t="s">
        <v>516</v>
      </c>
      <c r="E417" t="s">
        <v>518</v>
      </c>
      <c r="F417" t="s">
        <v>536</v>
      </c>
      <c r="G417">
        <v>4</v>
      </c>
      <c r="H417">
        <v>21.26</v>
      </c>
      <c r="I417">
        <v>11.69</v>
      </c>
      <c r="J417">
        <f t="shared" si="18"/>
        <v>85.04</v>
      </c>
      <c r="K417">
        <f t="shared" si="19"/>
        <v>73.350000000000009</v>
      </c>
      <c r="L417">
        <f t="shared" si="20"/>
        <v>46.76</v>
      </c>
    </row>
    <row r="418" spans="1:12" x14ac:dyDescent="0.2">
      <c r="A418" t="s">
        <v>425</v>
      </c>
      <c r="B418" s="6">
        <v>45771</v>
      </c>
      <c r="C418" t="s">
        <v>513</v>
      </c>
      <c r="D418" t="s">
        <v>517</v>
      </c>
      <c r="E418" t="s">
        <v>518</v>
      </c>
      <c r="F418" t="s">
        <v>523</v>
      </c>
      <c r="G418">
        <v>6</v>
      </c>
      <c r="H418">
        <v>32.76</v>
      </c>
      <c r="I418">
        <v>14.4</v>
      </c>
      <c r="J418">
        <f t="shared" si="18"/>
        <v>196.56</v>
      </c>
      <c r="K418">
        <f t="shared" si="19"/>
        <v>182.16</v>
      </c>
      <c r="L418">
        <f t="shared" si="20"/>
        <v>86.4</v>
      </c>
    </row>
    <row r="419" spans="1:12" x14ac:dyDescent="0.2">
      <c r="A419" t="s">
        <v>426</v>
      </c>
      <c r="B419" s="6">
        <v>45727</v>
      </c>
      <c r="C419" t="s">
        <v>512</v>
      </c>
      <c r="D419" t="s">
        <v>515</v>
      </c>
      <c r="E419" t="s">
        <v>520</v>
      </c>
      <c r="F419" t="s">
        <v>531</v>
      </c>
      <c r="G419">
        <v>2</v>
      </c>
      <c r="H419">
        <v>60.58</v>
      </c>
      <c r="I419">
        <v>24.54</v>
      </c>
      <c r="J419">
        <f t="shared" si="18"/>
        <v>121.16</v>
      </c>
      <c r="K419">
        <f t="shared" si="19"/>
        <v>96.62</v>
      </c>
      <c r="L419">
        <f t="shared" si="20"/>
        <v>49.08</v>
      </c>
    </row>
    <row r="420" spans="1:12" x14ac:dyDescent="0.2">
      <c r="A420" t="s">
        <v>427</v>
      </c>
      <c r="B420" s="6">
        <v>45691</v>
      </c>
      <c r="C420" t="s">
        <v>512</v>
      </c>
      <c r="D420" t="s">
        <v>516</v>
      </c>
      <c r="E420" t="s">
        <v>518</v>
      </c>
      <c r="F420" t="s">
        <v>522</v>
      </c>
      <c r="G420">
        <v>1</v>
      </c>
      <c r="H420">
        <v>30.9</v>
      </c>
      <c r="I420">
        <v>21.15</v>
      </c>
      <c r="J420">
        <f t="shared" si="18"/>
        <v>30.9</v>
      </c>
      <c r="K420">
        <f t="shared" si="19"/>
        <v>9.75</v>
      </c>
      <c r="L420">
        <f t="shared" si="20"/>
        <v>21.15</v>
      </c>
    </row>
    <row r="421" spans="1:12" x14ac:dyDescent="0.2">
      <c r="A421" t="s">
        <v>428</v>
      </c>
      <c r="B421" s="6">
        <v>45738</v>
      </c>
      <c r="C421" t="s">
        <v>510</v>
      </c>
      <c r="D421" t="s">
        <v>515</v>
      </c>
      <c r="E421" t="s">
        <v>520</v>
      </c>
      <c r="F421" t="s">
        <v>531</v>
      </c>
      <c r="G421">
        <v>7</v>
      </c>
      <c r="H421">
        <v>60.34</v>
      </c>
      <c r="I421">
        <v>36.840000000000003</v>
      </c>
      <c r="J421">
        <f t="shared" si="18"/>
        <v>422.38</v>
      </c>
      <c r="K421">
        <f t="shared" si="19"/>
        <v>385.53999999999996</v>
      </c>
      <c r="L421">
        <f t="shared" si="20"/>
        <v>257.88</v>
      </c>
    </row>
    <row r="422" spans="1:12" x14ac:dyDescent="0.2">
      <c r="A422" t="s">
        <v>429</v>
      </c>
      <c r="B422" s="6">
        <v>45726</v>
      </c>
      <c r="C422" t="s">
        <v>510</v>
      </c>
      <c r="D422" t="s">
        <v>514</v>
      </c>
      <c r="E422" t="s">
        <v>518</v>
      </c>
      <c r="F422" t="s">
        <v>523</v>
      </c>
      <c r="G422">
        <v>5</v>
      </c>
      <c r="H422">
        <v>35.299999999999997</v>
      </c>
      <c r="I422">
        <v>15.01</v>
      </c>
      <c r="J422">
        <f t="shared" si="18"/>
        <v>176.5</v>
      </c>
      <c r="K422">
        <f t="shared" si="19"/>
        <v>161.49</v>
      </c>
      <c r="L422">
        <f t="shared" si="20"/>
        <v>75.05</v>
      </c>
    </row>
    <row r="423" spans="1:12" x14ac:dyDescent="0.2">
      <c r="A423" t="s">
        <v>430</v>
      </c>
      <c r="B423" s="6">
        <v>45775</v>
      </c>
      <c r="C423" t="s">
        <v>512</v>
      </c>
      <c r="D423" t="s">
        <v>514</v>
      </c>
      <c r="E423" t="s">
        <v>518</v>
      </c>
      <c r="F423" t="s">
        <v>523</v>
      </c>
      <c r="G423">
        <v>6</v>
      </c>
      <c r="H423">
        <v>33.78</v>
      </c>
      <c r="I423">
        <v>17.47</v>
      </c>
      <c r="J423">
        <f t="shared" si="18"/>
        <v>202.68</v>
      </c>
      <c r="K423">
        <f t="shared" si="19"/>
        <v>185.21</v>
      </c>
      <c r="L423">
        <f t="shared" si="20"/>
        <v>104.82</v>
      </c>
    </row>
    <row r="424" spans="1:12" x14ac:dyDescent="0.2">
      <c r="A424" t="s">
        <v>431</v>
      </c>
      <c r="B424" s="6">
        <v>45747</v>
      </c>
      <c r="C424" t="s">
        <v>511</v>
      </c>
      <c r="D424" t="s">
        <v>514</v>
      </c>
      <c r="E424" t="s">
        <v>518</v>
      </c>
      <c r="F424" t="s">
        <v>533</v>
      </c>
      <c r="G424">
        <v>1</v>
      </c>
      <c r="H424">
        <v>23.76</v>
      </c>
      <c r="I424">
        <v>11.25</v>
      </c>
      <c r="J424">
        <f t="shared" si="18"/>
        <v>23.76</v>
      </c>
      <c r="K424">
        <f t="shared" si="19"/>
        <v>12.510000000000002</v>
      </c>
      <c r="L424">
        <f t="shared" si="20"/>
        <v>11.25</v>
      </c>
    </row>
    <row r="425" spans="1:12" x14ac:dyDescent="0.2">
      <c r="A425" t="s">
        <v>432</v>
      </c>
      <c r="B425" s="6">
        <v>45716</v>
      </c>
      <c r="C425" t="s">
        <v>510</v>
      </c>
      <c r="D425" t="s">
        <v>516</v>
      </c>
      <c r="E425" t="s">
        <v>520</v>
      </c>
      <c r="F425" t="s">
        <v>525</v>
      </c>
      <c r="G425">
        <v>5</v>
      </c>
      <c r="H425">
        <v>64.86</v>
      </c>
      <c r="I425">
        <v>38.9</v>
      </c>
      <c r="J425">
        <f t="shared" si="18"/>
        <v>324.3</v>
      </c>
      <c r="K425">
        <f t="shared" si="19"/>
        <v>285.40000000000003</v>
      </c>
      <c r="L425">
        <f t="shared" si="20"/>
        <v>194.5</v>
      </c>
    </row>
    <row r="426" spans="1:12" x14ac:dyDescent="0.2">
      <c r="A426" t="s">
        <v>433</v>
      </c>
      <c r="B426" s="6">
        <v>45659</v>
      </c>
      <c r="C426" t="s">
        <v>512</v>
      </c>
      <c r="D426" t="s">
        <v>516</v>
      </c>
      <c r="E426" t="s">
        <v>519</v>
      </c>
      <c r="F426" t="s">
        <v>535</v>
      </c>
      <c r="G426">
        <v>3</v>
      </c>
      <c r="H426">
        <v>23.23</v>
      </c>
      <c r="I426">
        <v>12.75</v>
      </c>
      <c r="J426">
        <f t="shared" si="18"/>
        <v>69.69</v>
      </c>
      <c r="K426">
        <f t="shared" si="19"/>
        <v>56.94</v>
      </c>
      <c r="L426">
        <f t="shared" si="20"/>
        <v>38.25</v>
      </c>
    </row>
    <row r="427" spans="1:12" x14ac:dyDescent="0.2">
      <c r="A427" t="s">
        <v>434</v>
      </c>
      <c r="B427" s="6">
        <v>45679</v>
      </c>
      <c r="C427" t="s">
        <v>509</v>
      </c>
      <c r="D427" t="s">
        <v>514</v>
      </c>
      <c r="E427" t="s">
        <v>521</v>
      </c>
      <c r="F427" t="s">
        <v>528</v>
      </c>
      <c r="G427">
        <v>5</v>
      </c>
      <c r="H427">
        <v>24.84</v>
      </c>
      <c r="I427">
        <v>15.4</v>
      </c>
      <c r="J427">
        <f t="shared" si="18"/>
        <v>124.2</v>
      </c>
      <c r="K427">
        <f t="shared" si="19"/>
        <v>108.8</v>
      </c>
      <c r="L427">
        <f t="shared" si="20"/>
        <v>77</v>
      </c>
    </row>
    <row r="428" spans="1:12" x14ac:dyDescent="0.2">
      <c r="A428" t="s">
        <v>435</v>
      </c>
      <c r="B428" s="6">
        <v>45700</v>
      </c>
      <c r="C428" t="s">
        <v>511</v>
      </c>
      <c r="D428" t="s">
        <v>517</v>
      </c>
      <c r="E428" t="s">
        <v>518</v>
      </c>
      <c r="F428" t="s">
        <v>522</v>
      </c>
      <c r="G428">
        <v>2</v>
      </c>
      <c r="H428">
        <v>20.18</v>
      </c>
      <c r="I428">
        <v>9.66</v>
      </c>
      <c r="J428">
        <f t="shared" si="18"/>
        <v>40.36</v>
      </c>
      <c r="K428">
        <f t="shared" si="19"/>
        <v>30.7</v>
      </c>
      <c r="L428">
        <f t="shared" si="20"/>
        <v>19.32</v>
      </c>
    </row>
    <row r="429" spans="1:12" x14ac:dyDescent="0.2">
      <c r="A429" t="s">
        <v>436</v>
      </c>
      <c r="B429" s="6">
        <v>45716</v>
      </c>
      <c r="C429" t="s">
        <v>510</v>
      </c>
      <c r="D429" t="s">
        <v>517</v>
      </c>
      <c r="E429" t="s">
        <v>518</v>
      </c>
      <c r="F429" t="s">
        <v>537</v>
      </c>
      <c r="G429">
        <v>1</v>
      </c>
      <c r="H429">
        <v>28.43</v>
      </c>
      <c r="I429">
        <v>15.63</v>
      </c>
      <c r="J429">
        <f t="shared" si="18"/>
        <v>28.43</v>
      </c>
      <c r="K429">
        <f t="shared" si="19"/>
        <v>12.799999999999999</v>
      </c>
      <c r="L429">
        <f t="shared" si="20"/>
        <v>15.63</v>
      </c>
    </row>
    <row r="430" spans="1:12" x14ac:dyDescent="0.2">
      <c r="A430" t="s">
        <v>437</v>
      </c>
      <c r="B430" s="6">
        <v>45678</v>
      </c>
      <c r="C430" t="s">
        <v>509</v>
      </c>
      <c r="D430" t="s">
        <v>516</v>
      </c>
      <c r="E430" t="s">
        <v>519</v>
      </c>
      <c r="F430" t="s">
        <v>534</v>
      </c>
      <c r="G430">
        <v>2</v>
      </c>
      <c r="H430">
        <v>25.29</v>
      </c>
      <c r="I430">
        <v>11.85</v>
      </c>
      <c r="J430">
        <f t="shared" si="18"/>
        <v>50.58</v>
      </c>
      <c r="K430">
        <f t="shared" si="19"/>
        <v>38.729999999999997</v>
      </c>
      <c r="L430">
        <f t="shared" si="20"/>
        <v>23.7</v>
      </c>
    </row>
    <row r="431" spans="1:12" x14ac:dyDescent="0.2">
      <c r="A431" t="s">
        <v>438</v>
      </c>
      <c r="B431" s="6">
        <v>45767</v>
      </c>
      <c r="C431" t="s">
        <v>513</v>
      </c>
      <c r="D431" t="s">
        <v>514</v>
      </c>
      <c r="E431" t="s">
        <v>518</v>
      </c>
      <c r="F431" t="s">
        <v>522</v>
      </c>
      <c r="G431">
        <v>1</v>
      </c>
      <c r="H431">
        <v>16.21</v>
      </c>
      <c r="I431">
        <v>8.7799999999999994</v>
      </c>
      <c r="J431">
        <f t="shared" si="18"/>
        <v>16.21</v>
      </c>
      <c r="K431">
        <f t="shared" si="19"/>
        <v>7.4300000000000015</v>
      </c>
      <c r="L431">
        <f t="shared" si="20"/>
        <v>8.7799999999999994</v>
      </c>
    </row>
    <row r="432" spans="1:12" x14ac:dyDescent="0.2">
      <c r="A432" t="s">
        <v>439</v>
      </c>
      <c r="B432" s="6">
        <v>45680</v>
      </c>
      <c r="C432" t="s">
        <v>513</v>
      </c>
      <c r="D432" t="s">
        <v>515</v>
      </c>
      <c r="E432" t="s">
        <v>520</v>
      </c>
      <c r="F432" t="s">
        <v>525</v>
      </c>
      <c r="G432">
        <v>4</v>
      </c>
      <c r="H432">
        <v>54.08</v>
      </c>
      <c r="I432">
        <v>26.85</v>
      </c>
      <c r="J432">
        <f t="shared" si="18"/>
        <v>216.32</v>
      </c>
      <c r="K432">
        <f t="shared" si="19"/>
        <v>189.47</v>
      </c>
      <c r="L432">
        <f t="shared" si="20"/>
        <v>107.4</v>
      </c>
    </row>
    <row r="433" spans="1:12" x14ac:dyDescent="0.2">
      <c r="A433" t="s">
        <v>440</v>
      </c>
      <c r="B433" s="6">
        <v>45692</v>
      </c>
      <c r="C433" t="s">
        <v>513</v>
      </c>
      <c r="D433" t="s">
        <v>517</v>
      </c>
      <c r="E433" t="s">
        <v>520</v>
      </c>
      <c r="F433" t="s">
        <v>531</v>
      </c>
      <c r="G433">
        <v>2</v>
      </c>
      <c r="H433">
        <v>49.8</v>
      </c>
      <c r="I433">
        <v>27.42</v>
      </c>
      <c r="J433">
        <f t="shared" si="18"/>
        <v>99.6</v>
      </c>
      <c r="K433">
        <f t="shared" si="19"/>
        <v>72.179999999999993</v>
      </c>
      <c r="L433">
        <f t="shared" si="20"/>
        <v>54.84</v>
      </c>
    </row>
    <row r="434" spans="1:12" x14ac:dyDescent="0.2">
      <c r="A434" t="s">
        <v>441</v>
      </c>
      <c r="B434" s="6">
        <v>45686</v>
      </c>
      <c r="C434" t="s">
        <v>510</v>
      </c>
      <c r="D434" t="s">
        <v>516</v>
      </c>
      <c r="E434" t="s">
        <v>518</v>
      </c>
      <c r="F434" t="s">
        <v>536</v>
      </c>
      <c r="G434">
        <v>7</v>
      </c>
      <c r="H434">
        <v>23.65</v>
      </c>
      <c r="I434">
        <v>9.9499999999999993</v>
      </c>
      <c r="J434">
        <f t="shared" si="18"/>
        <v>165.54999999999998</v>
      </c>
      <c r="K434">
        <f t="shared" si="19"/>
        <v>155.6</v>
      </c>
      <c r="L434">
        <f t="shared" si="20"/>
        <v>69.649999999999991</v>
      </c>
    </row>
    <row r="435" spans="1:12" x14ac:dyDescent="0.2">
      <c r="A435" t="s">
        <v>442</v>
      </c>
      <c r="B435" s="6">
        <v>45757</v>
      </c>
      <c r="C435" t="s">
        <v>509</v>
      </c>
      <c r="D435" t="s">
        <v>517</v>
      </c>
      <c r="E435" t="s">
        <v>520</v>
      </c>
      <c r="F435" t="s">
        <v>531</v>
      </c>
      <c r="G435">
        <v>2</v>
      </c>
      <c r="H435">
        <v>63.59</v>
      </c>
      <c r="I435">
        <v>35.99</v>
      </c>
      <c r="J435">
        <f t="shared" si="18"/>
        <v>127.18</v>
      </c>
      <c r="K435">
        <f t="shared" si="19"/>
        <v>91.19</v>
      </c>
      <c r="L435">
        <f t="shared" si="20"/>
        <v>71.98</v>
      </c>
    </row>
    <row r="436" spans="1:12" x14ac:dyDescent="0.2">
      <c r="A436" t="s">
        <v>443</v>
      </c>
      <c r="B436" s="6">
        <v>45683</v>
      </c>
      <c r="C436" t="s">
        <v>509</v>
      </c>
      <c r="D436" t="s">
        <v>517</v>
      </c>
      <c r="E436" t="s">
        <v>518</v>
      </c>
      <c r="F436" t="s">
        <v>533</v>
      </c>
      <c r="G436">
        <v>4</v>
      </c>
      <c r="H436">
        <v>32.51</v>
      </c>
      <c r="I436">
        <v>17.53</v>
      </c>
      <c r="J436">
        <f t="shared" si="18"/>
        <v>130.04</v>
      </c>
      <c r="K436">
        <f t="shared" si="19"/>
        <v>112.50999999999999</v>
      </c>
      <c r="L436">
        <f t="shared" si="20"/>
        <v>70.12</v>
      </c>
    </row>
    <row r="437" spans="1:12" x14ac:dyDescent="0.2">
      <c r="A437" t="s">
        <v>444</v>
      </c>
      <c r="B437" s="6">
        <v>45751</v>
      </c>
      <c r="C437" t="s">
        <v>510</v>
      </c>
      <c r="D437" t="s">
        <v>514</v>
      </c>
      <c r="E437" t="s">
        <v>520</v>
      </c>
      <c r="F437" t="s">
        <v>525</v>
      </c>
      <c r="G437">
        <v>3</v>
      </c>
      <c r="H437">
        <v>60.37</v>
      </c>
      <c r="I437">
        <v>24.26</v>
      </c>
      <c r="J437">
        <f t="shared" si="18"/>
        <v>181.10999999999999</v>
      </c>
      <c r="K437">
        <f t="shared" si="19"/>
        <v>156.85</v>
      </c>
      <c r="L437">
        <f t="shared" si="20"/>
        <v>72.78</v>
      </c>
    </row>
    <row r="438" spans="1:12" x14ac:dyDescent="0.2">
      <c r="A438" t="s">
        <v>445</v>
      </c>
      <c r="B438" s="6">
        <v>45687</v>
      </c>
      <c r="C438" t="s">
        <v>510</v>
      </c>
      <c r="D438" t="s">
        <v>517</v>
      </c>
      <c r="E438" t="s">
        <v>520</v>
      </c>
      <c r="F438" t="s">
        <v>525</v>
      </c>
      <c r="G438">
        <v>1</v>
      </c>
      <c r="H438">
        <v>68.14</v>
      </c>
      <c r="I438">
        <v>46.7</v>
      </c>
      <c r="J438">
        <f t="shared" si="18"/>
        <v>68.14</v>
      </c>
      <c r="K438">
        <f t="shared" si="19"/>
        <v>21.439999999999998</v>
      </c>
      <c r="L438">
        <f t="shared" si="20"/>
        <v>46.7</v>
      </c>
    </row>
    <row r="439" spans="1:12" x14ac:dyDescent="0.2">
      <c r="A439" t="s">
        <v>446</v>
      </c>
      <c r="B439" s="6">
        <v>45766</v>
      </c>
      <c r="C439" t="s">
        <v>509</v>
      </c>
      <c r="D439" t="s">
        <v>516</v>
      </c>
      <c r="E439" t="s">
        <v>518</v>
      </c>
      <c r="F439" t="s">
        <v>537</v>
      </c>
      <c r="G439">
        <v>4</v>
      </c>
      <c r="H439">
        <v>18.100000000000001</v>
      </c>
      <c r="I439">
        <v>10.119999999999999</v>
      </c>
      <c r="J439">
        <f t="shared" si="18"/>
        <v>72.400000000000006</v>
      </c>
      <c r="K439">
        <f t="shared" si="19"/>
        <v>62.280000000000008</v>
      </c>
      <c r="L439">
        <f t="shared" si="20"/>
        <v>40.479999999999997</v>
      </c>
    </row>
    <row r="440" spans="1:12" x14ac:dyDescent="0.2">
      <c r="A440" t="s">
        <v>447</v>
      </c>
      <c r="B440" s="6">
        <v>45720</v>
      </c>
      <c r="C440" t="s">
        <v>513</v>
      </c>
      <c r="D440" t="s">
        <v>514</v>
      </c>
      <c r="E440" t="s">
        <v>519</v>
      </c>
      <c r="F440" t="s">
        <v>526</v>
      </c>
      <c r="G440">
        <v>5</v>
      </c>
      <c r="H440">
        <v>11.48</v>
      </c>
      <c r="I440">
        <v>4.91</v>
      </c>
      <c r="J440">
        <f t="shared" si="18"/>
        <v>57.400000000000006</v>
      </c>
      <c r="K440">
        <f t="shared" si="19"/>
        <v>52.490000000000009</v>
      </c>
      <c r="L440">
        <f t="shared" si="20"/>
        <v>24.55</v>
      </c>
    </row>
    <row r="441" spans="1:12" x14ac:dyDescent="0.2">
      <c r="A441" t="s">
        <v>448</v>
      </c>
      <c r="B441" s="6">
        <v>45710</v>
      </c>
      <c r="C441" t="s">
        <v>509</v>
      </c>
      <c r="D441" t="s">
        <v>515</v>
      </c>
      <c r="E441" t="s">
        <v>519</v>
      </c>
      <c r="F441" t="s">
        <v>532</v>
      </c>
      <c r="G441">
        <v>2</v>
      </c>
      <c r="H441">
        <v>19.72</v>
      </c>
      <c r="I441">
        <v>11.32</v>
      </c>
      <c r="J441">
        <f t="shared" si="18"/>
        <v>39.44</v>
      </c>
      <c r="K441">
        <f t="shared" si="19"/>
        <v>28.119999999999997</v>
      </c>
      <c r="L441">
        <f t="shared" si="20"/>
        <v>22.64</v>
      </c>
    </row>
    <row r="442" spans="1:12" x14ac:dyDescent="0.2">
      <c r="A442" t="s">
        <v>449</v>
      </c>
      <c r="B442" s="6">
        <v>45667</v>
      </c>
      <c r="C442" t="s">
        <v>510</v>
      </c>
      <c r="D442" t="s">
        <v>516</v>
      </c>
      <c r="E442" t="s">
        <v>519</v>
      </c>
      <c r="F442" t="s">
        <v>526</v>
      </c>
      <c r="G442">
        <v>7</v>
      </c>
      <c r="H442">
        <v>21.92</v>
      </c>
      <c r="I442">
        <v>13.12</v>
      </c>
      <c r="J442">
        <f t="shared" si="18"/>
        <v>153.44</v>
      </c>
      <c r="K442">
        <f t="shared" si="19"/>
        <v>140.32</v>
      </c>
      <c r="L442">
        <f t="shared" si="20"/>
        <v>91.839999999999989</v>
      </c>
    </row>
    <row r="443" spans="1:12" x14ac:dyDescent="0.2">
      <c r="A443" t="s">
        <v>450</v>
      </c>
      <c r="B443" s="6">
        <v>45695</v>
      </c>
      <c r="C443" t="s">
        <v>509</v>
      </c>
      <c r="D443" t="s">
        <v>517</v>
      </c>
      <c r="E443" t="s">
        <v>519</v>
      </c>
      <c r="F443" t="s">
        <v>524</v>
      </c>
      <c r="G443">
        <v>7</v>
      </c>
      <c r="H443">
        <v>19.84</v>
      </c>
      <c r="I443">
        <v>12.11</v>
      </c>
      <c r="J443">
        <f t="shared" si="18"/>
        <v>138.88</v>
      </c>
      <c r="K443">
        <f t="shared" si="19"/>
        <v>126.77</v>
      </c>
      <c r="L443">
        <f t="shared" si="20"/>
        <v>84.77</v>
      </c>
    </row>
    <row r="444" spans="1:12" x14ac:dyDescent="0.2">
      <c r="A444" t="s">
        <v>451</v>
      </c>
      <c r="B444" s="6">
        <v>45715</v>
      </c>
      <c r="C444" t="s">
        <v>509</v>
      </c>
      <c r="D444" t="s">
        <v>514</v>
      </c>
      <c r="E444" t="s">
        <v>521</v>
      </c>
      <c r="F444" t="s">
        <v>528</v>
      </c>
      <c r="G444">
        <v>2</v>
      </c>
      <c r="H444">
        <v>7.66</v>
      </c>
      <c r="I444">
        <v>5.23</v>
      </c>
      <c r="J444">
        <f t="shared" si="18"/>
        <v>15.32</v>
      </c>
      <c r="K444">
        <f t="shared" si="19"/>
        <v>10.09</v>
      </c>
      <c r="L444">
        <f t="shared" si="20"/>
        <v>10.46</v>
      </c>
    </row>
    <row r="445" spans="1:12" x14ac:dyDescent="0.2">
      <c r="A445" t="s">
        <v>452</v>
      </c>
      <c r="B445" s="6">
        <v>45671</v>
      </c>
      <c r="C445" t="s">
        <v>512</v>
      </c>
      <c r="D445" t="s">
        <v>516</v>
      </c>
      <c r="E445" t="s">
        <v>519</v>
      </c>
      <c r="F445" t="s">
        <v>532</v>
      </c>
      <c r="G445">
        <v>3</v>
      </c>
      <c r="H445">
        <v>19.55</v>
      </c>
      <c r="I445">
        <v>10.46</v>
      </c>
      <c r="J445">
        <f t="shared" si="18"/>
        <v>58.650000000000006</v>
      </c>
      <c r="K445">
        <f t="shared" si="19"/>
        <v>48.190000000000005</v>
      </c>
      <c r="L445">
        <f t="shared" si="20"/>
        <v>31.380000000000003</v>
      </c>
    </row>
    <row r="446" spans="1:12" x14ac:dyDescent="0.2">
      <c r="A446" t="s">
        <v>453</v>
      </c>
      <c r="B446" s="6">
        <v>45673</v>
      </c>
      <c r="C446" t="s">
        <v>510</v>
      </c>
      <c r="D446" t="s">
        <v>517</v>
      </c>
      <c r="E446" t="s">
        <v>521</v>
      </c>
      <c r="F446" t="s">
        <v>530</v>
      </c>
      <c r="G446">
        <v>4</v>
      </c>
      <c r="H446">
        <v>11.48</v>
      </c>
      <c r="I446">
        <v>6.15</v>
      </c>
      <c r="J446">
        <f t="shared" si="18"/>
        <v>45.92</v>
      </c>
      <c r="K446">
        <f t="shared" si="19"/>
        <v>39.770000000000003</v>
      </c>
      <c r="L446">
        <f t="shared" si="20"/>
        <v>24.6</v>
      </c>
    </row>
    <row r="447" spans="1:12" x14ac:dyDescent="0.2">
      <c r="A447" t="s">
        <v>454</v>
      </c>
      <c r="B447" s="6">
        <v>45767</v>
      </c>
      <c r="C447" t="s">
        <v>513</v>
      </c>
      <c r="D447" t="s">
        <v>516</v>
      </c>
      <c r="E447" t="s">
        <v>520</v>
      </c>
      <c r="F447" t="s">
        <v>531</v>
      </c>
      <c r="G447">
        <v>3</v>
      </c>
      <c r="H447">
        <v>63.35</v>
      </c>
      <c r="I447">
        <v>40.69</v>
      </c>
      <c r="J447">
        <f t="shared" si="18"/>
        <v>190.05</v>
      </c>
      <c r="K447">
        <f t="shared" si="19"/>
        <v>149.36000000000001</v>
      </c>
      <c r="L447">
        <f t="shared" si="20"/>
        <v>122.07</v>
      </c>
    </row>
    <row r="448" spans="1:12" x14ac:dyDescent="0.2">
      <c r="A448" t="s">
        <v>455</v>
      </c>
      <c r="B448" s="6">
        <v>45685</v>
      </c>
      <c r="C448" t="s">
        <v>509</v>
      </c>
      <c r="D448" t="s">
        <v>514</v>
      </c>
      <c r="E448" t="s">
        <v>521</v>
      </c>
      <c r="F448" t="s">
        <v>527</v>
      </c>
      <c r="G448">
        <v>2</v>
      </c>
      <c r="H448">
        <v>19.829999999999998</v>
      </c>
      <c r="I448">
        <v>12.16</v>
      </c>
      <c r="J448">
        <f t="shared" si="18"/>
        <v>39.659999999999997</v>
      </c>
      <c r="K448">
        <f t="shared" si="19"/>
        <v>27.499999999999996</v>
      </c>
      <c r="L448">
        <f t="shared" si="20"/>
        <v>24.32</v>
      </c>
    </row>
    <row r="449" spans="1:12" x14ac:dyDescent="0.2">
      <c r="A449" t="s">
        <v>456</v>
      </c>
      <c r="B449" s="6">
        <v>45723</v>
      </c>
      <c r="C449" t="s">
        <v>513</v>
      </c>
      <c r="D449" t="s">
        <v>517</v>
      </c>
      <c r="E449" t="s">
        <v>521</v>
      </c>
      <c r="F449" t="s">
        <v>530</v>
      </c>
      <c r="G449">
        <v>5</v>
      </c>
      <c r="H449">
        <v>13.3</v>
      </c>
      <c r="I449">
        <v>8.59</v>
      </c>
      <c r="J449">
        <f t="shared" si="18"/>
        <v>66.5</v>
      </c>
      <c r="K449">
        <f t="shared" si="19"/>
        <v>57.91</v>
      </c>
      <c r="L449">
        <f t="shared" si="20"/>
        <v>42.95</v>
      </c>
    </row>
    <row r="450" spans="1:12" x14ac:dyDescent="0.2">
      <c r="A450" t="s">
        <v>457</v>
      </c>
      <c r="B450" s="6">
        <v>45709</v>
      </c>
      <c r="C450" t="s">
        <v>511</v>
      </c>
      <c r="D450" t="s">
        <v>514</v>
      </c>
      <c r="E450" t="s">
        <v>519</v>
      </c>
      <c r="F450" t="s">
        <v>535</v>
      </c>
      <c r="G450">
        <v>2</v>
      </c>
      <c r="H450">
        <v>17.43</v>
      </c>
      <c r="I450">
        <v>9.39</v>
      </c>
      <c r="J450">
        <f t="shared" ref="J450:J501" si="21">(G450*H450)</f>
        <v>34.86</v>
      </c>
      <c r="K450">
        <f t="shared" ref="K450:K501" si="22">(J450-I450)</f>
        <v>25.47</v>
      </c>
      <c r="L450">
        <f t="shared" si="20"/>
        <v>18.78</v>
      </c>
    </row>
    <row r="451" spans="1:12" x14ac:dyDescent="0.2">
      <c r="A451" t="s">
        <v>458</v>
      </c>
      <c r="B451" s="6">
        <v>45659</v>
      </c>
      <c r="C451" t="s">
        <v>513</v>
      </c>
      <c r="D451" t="s">
        <v>514</v>
      </c>
      <c r="E451" t="s">
        <v>519</v>
      </c>
      <c r="F451" t="s">
        <v>535</v>
      </c>
      <c r="G451">
        <v>3</v>
      </c>
      <c r="H451">
        <v>14.7</v>
      </c>
      <c r="I451">
        <v>6.75</v>
      </c>
      <c r="J451">
        <f t="shared" si="21"/>
        <v>44.099999999999994</v>
      </c>
      <c r="K451">
        <f t="shared" si="22"/>
        <v>37.349999999999994</v>
      </c>
      <c r="L451">
        <f t="shared" ref="L451:L501" si="23">(G451*I451)</f>
        <v>20.25</v>
      </c>
    </row>
    <row r="452" spans="1:12" x14ac:dyDescent="0.2">
      <c r="A452" t="s">
        <v>459</v>
      </c>
      <c r="B452" s="6">
        <v>45745</v>
      </c>
      <c r="C452" t="s">
        <v>513</v>
      </c>
      <c r="D452" t="s">
        <v>517</v>
      </c>
      <c r="E452" t="s">
        <v>520</v>
      </c>
      <c r="F452" t="s">
        <v>531</v>
      </c>
      <c r="G452">
        <v>2</v>
      </c>
      <c r="H452">
        <v>59.69</v>
      </c>
      <c r="I452">
        <v>24.27</v>
      </c>
      <c r="J452">
        <f t="shared" si="21"/>
        <v>119.38</v>
      </c>
      <c r="K452">
        <f t="shared" si="22"/>
        <v>95.11</v>
      </c>
      <c r="L452">
        <f t="shared" si="23"/>
        <v>48.54</v>
      </c>
    </row>
    <row r="453" spans="1:12" x14ac:dyDescent="0.2">
      <c r="A453" t="s">
        <v>460</v>
      </c>
      <c r="B453" s="6">
        <v>45773</v>
      </c>
      <c r="C453" t="s">
        <v>511</v>
      </c>
      <c r="D453" t="s">
        <v>514</v>
      </c>
      <c r="E453" t="s">
        <v>518</v>
      </c>
      <c r="F453" t="s">
        <v>536</v>
      </c>
      <c r="G453">
        <v>2</v>
      </c>
      <c r="H453">
        <v>29.78</v>
      </c>
      <c r="I453">
        <v>20</v>
      </c>
      <c r="J453">
        <f t="shared" si="21"/>
        <v>59.56</v>
      </c>
      <c r="K453">
        <f t="shared" si="22"/>
        <v>39.56</v>
      </c>
      <c r="L453">
        <f t="shared" si="23"/>
        <v>40</v>
      </c>
    </row>
    <row r="454" spans="1:12" x14ac:dyDescent="0.2">
      <c r="A454" t="s">
        <v>461</v>
      </c>
      <c r="B454" s="6">
        <v>45663</v>
      </c>
      <c r="C454" t="s">
        <v>511</v>
      </c>
      <c r="D454" t="s">
        <v>516</v>
      </c>
      <c r="E454" t="s">
        <v>521</v>
      </c>
      <c r="F454" t="s">
        <v>527</v>
      </c>
      <c r="G454">
        <v>3</v>
      </c>
      <c r="H454">
        <v>13.07</v>
      </c>
      <c r="I454">
        <v>8.85</v>
      </c>
      <c r="J454">
        <f t="shared" si="21"/>
        <v>39.21</v>
      </c>
      <c r="K454">
        <f t="shared" si="22"/>
        <v>30.36</v>
      </c>
      <c r="L454">
        <f t="shared" si="23"/>
        <v>26.549999999999997</v>
      </c>
    </row>
    <row r="455" spans="1:12" x14ac:dyDescent="0.2">
      <c r="A455" t="s">
        <v>462</v>
      </c>
      <c r="B455" s="6">
        <v>45721</v>
      </c>
      <c r="C455" t="s">
        <v>513</v>
      </c>
      <c r="D455" t="s">
        <v>515</v>
      </c>
      <c r="E455" t="s">
        <v>520</v>
      </c>
      <c r="F455" t="s">
        <v>531</v>
      </c>
      <c r="G455">
        <v>7</v>
      </c>
      <c r="H455">
        <v>62.52</v>
      </c>
      <c r="I455">
        <v>28.25</v>
      </c>
      <c r="J455">
        <f t="shared" si="21"/>
        <v>437.64000000000004</v>
      </c>
      <c r="K455">
        <f t="shared" si="22"/>
        <v>409.39000000000004</v>
      </c>
      <c r="L455">
        <f t="shared" si="23"/>
        <v>197.75</v>
      </c>
    </row>
    <row r="456" spans="1:12" x14ac:dyDescent="0.2">
      <c r="A456" t="s">
        <v>463</v>
      </c>
      <c r="B456" s="6">
        <v>45693</v>
      </c>
      <c r="C456" t="s">
        <v>509</v>
      </c>
      <c r="D456" t="s">
        <v>515</v>
      </c>
      <c r="E456" t="s">
        <v>519</v>
      </c>
      <c r="F456" t="s">
        <v>524</v>
      </c>
      <c r="G456">
        <v>3</v>
      </c>
      <c r="H456">
        <v>17.350000000000001</v>
      </c>
      <c r="I456">
        <v>7.12</v>
      </c>
      <c r="J456">
        <f t="shared" si="21"/>
        <v>52.050000000000004</v>
      </c>
      <c r="K456">
        <f t="shared" si="22"/>
        <v>44.930000000000007</v>
      </c>
      <c r="L456">
        <f t="shared" si="23"/>
        <v>21.36</v>
      </c>
    </row>
    <row r="457" spans="1:12" x14ac:dyDescent="0.2">
      <c r="A457" t="s">
        <v>464</v>
      </c>
      <c r="B457" s="6">
        <v>45721</v>
      </c>
      <c r="C457" t="s">
        <v>511</v>
      </c>
      <c r="D457" t="s">
        <v>515</v>
      </c>
      <c r="E457" t="s">
        <v>519</v>
      </c>
      <c r="F457" t="s">
        <v>534</v>
      </c>
      <c r="G457">
        <v>1</v>
      </c>
      <c r="H457">
        <v>16.04</v>
      </c>
      <c r="I457">
        <v>6.84</v>
      </c>
      <c r="J457">
        <f t="shared" si="21"/>
        <v>16.04</v>
      </c>
      <c r="K457">
        <f t="shared" si="22"/>
        <v>9.1999999999999993</v>
      </c>
      <c r="L457">
        <f t="shared" si="23"/>
        <v>6.84</v>
      </c>
    </row>
    <row r="458" spans="1:12" x14ac:dyDescent="0.2">
      <c r="A458" t="s">
        <v>465</v>
      </c>
      <c r="B458" s="6">
        <v>45711</v>
      </c>
      <c r="C458" t="s">
        <v>512</v>
      </c>
      <c r="D458" t="s">
        <v>514</v>
      </c>
      <c r="E458" t="s">
        <v>520</v>
      </c>
      <c r="F458" t="s">
        <v>525</v>
      </c>
      <c r="G458">
        <v>1</v>
      </c>
      <c r="H458">
        <v>59.46</v>
      </c>
      <c r="I458">
        <v>41.43</v>
      </c>
      <c r="J458">
        <f t="shared" si="21"/>
        <v>59.46</v>
      </c>
      <c r="K458">
        <f t="shared" si="22"/>
        <v>18.03</v>
      </c>
      <c r="L458">
        <f t="shared" si="23"/>
        <v>41.43</v>
      </c>
    </row>
    <row r="459" spans="1:12" x14ac:dyDescent="0.2">
      <c r="A459" t="s">
        <v>466</v>
      </c>
      <c r="B459" s="6">
        <v>45727</v>
      </c>
      <c r="C459" t="s">
        <v>511</v>
      </c>
      <c r="D459" t="s">
        <v>517</v>
      </c>
      <c r="E459" t="s">
        <v>521</v>
      </c>
      <c r="F459" t="s">
        <v>530</v>
      </c>
      <c r="G459">
        <v>6</v>
      </c>
      <c r="H459">
        <v>12.82</v>
      </c>
      <c r="I459">
        <v>6.62</v>
      </c>
      <c r="J459">
        <f t="shared" si="21"/>
        <v>76.92</v>
      </c>
      <c r="K459">
        <f t="shared" si="22"/>
        <v>70.3</v>
      </c>
      <c r="L459">
        <f t="shared" si="23"/>
        <v>39.72</v>
      </c>
    </row>
    <row r="460" spans="1:12" x14ac:dyDescent="0.2">
      <c r="A460" t="s">
        <v>467</v>
      </c>
      <c r="B460" s="6">
        <v>45698</v>
      </c>
      <c r="C460" t="s">
        <v>510</v>
      </c>
      <c r="D460" t="s">
        <v>514</v>
      </c>
      <c r="E460" t="s">
        <v>519</v>
      </c>
      <c r="F460" t="s">
        <v>535</v>
      </c>
      <c r="G460">
        <v>1</v>
      </c>
      <c r="H460">
        <v>17.23</v>
      </c>
      <c r="I460">
        <v>11.52</v>
      </c>
      <c r="J460">
        <f t="shared" si="21"/>
        <v>17.23</v>
      </c>
      <c r="K460">
        <f t="shared" si="22"/>
        <v>5.7100000000000009</v>
      </c>
      <c r="L460">
        <f t="shared" si="23"/>
        <v>11.52</v>
      </c>
    </row>
    <row r="461" spans="1:12" x14ac:dyDescent="0.2">
      <c r="A461" t="s">
        <v>468</v>
      </c>
      <c r="B461" s="6">
        <v>45761</v>
      </c>
      <c r="C461" t="s">
        <v>511</v>
      </c>
      <c r="D461" t="s">
        <v>517</v>
      </c>
      <c r="E461" t="s">
        <v>521</v>
      </c>
      <c r="F461" t="s">
        <v>527</v>
      </c>
      <c r="G461">
        <v>4</v>
      </c>
      <c r="H461">
        <v>12.01</v>
      </c>
      <c r="I461">
        <v>8.31</v>
      </c>
      <c r="J461">
        <f t="shared" si="21"/>
        <v>48.04</v>
      </c>
      <c r="K461">
        <f t="shared" si="22"/>
        <v>39.729999999999997</v>
      </c>
      <c r="L461">
        <f t="shared" si="23"/>
        <v>33.24</v>
      </c>
    </row>
    <row r="462" spans="1:12" x14ac:dyDescent="0.2">
      <c r="A462" t="s">
        <v>469</v>
      </c>
      <c r="B462" s="6">
        <v>45742</v>
      </c>
      <c r="C462" t="s">
        <v>512</v>
      </c>
      <c r="D462" t="s">
        <v>517</v>
      </c>
      <c r="E462" t="s">
        <v>518</v>
      </c>
      <c r="F462" t="s">
        <v>536</v>
      </c>
      <c r="G462">
        <v>1</v>
      </c>
      <c r="H462">
        <v>34.82</v>
      </c>
      <c r="I462">
        <v>21.91</v>
      </c>
      <c r="J462">
        <f t="shared" si="21"/>
        <v>34.82</v>
      </c>
      <c r="K462">
        <f t="shared" si="22"/>
        <v>12.91</v>
      </c>
      <c r="L462">
        <f t="shared" si="23"/>
        <v>21.91</v>
      </c>
    </row>
    <row r="463" spans="1:12" x14ac:dyDescent="0.2">
      <c r="A463" t="s">
        <v>470</v>
      </c>
      <c r="B463" s="6">
        <v>45766</v>
      </c>
      <c r="C463" t="s">
        <v>511</v>
      </c>
      <c r="D463" t="s">
        <v>517</v>
      </c>
      <c r="E463" t="s">
        <v>519</v>
      </c>
      <c r="F463" t="s">
        <v>532</v>
      </c>
      <c r="G463">
        <v>3</v>
      </c>
      <c r="H463">
        <v>20.18</v>
      </c>
      <c r="I463">
        <v>9.14</v>
      </c>
      <c r="J463">
        <f t="shared" si="21"/>
        <v>60.54</v>
      </c>
      <c r="K463">
        <f t="shared" si="22"/>
        <v>51.4</v>
      </c>
      <c r="L463">
        <f t="shared" si="23"/>
        <v>27.42</v>
      </c>
    </row>
    <row r="464" spans="1:12" x14ac:dyDescent="0.2">
      <c r="A464" t="s">
        <v>471</v>
      </c>
      <c r="B464" s="6">
        <v>45774</v>
      </c>
      <c r="C464" t="s">
        <v>510</v>
      </c>
      <c r="D464" t="s">
        <v>516</v>
      </c>
      <c r="E464" t="s">
        <v>521</v>
      </c>
      <c r="F464" t="s">
        <v>528</v>
      </c>
      <c r="G464">
        <v>6</v>
      </c>
      <c r="H464">
        <v>14.5</v>
      </c>
      <c r="I464">
        <v>9.92</v>
      </c>
      <c r="J464">
        <f t="shared" si="21"/>
        <v>87</v>
      </c>
      <c r="K464">
        <f t="shared" si="22"/>
        <v>77.08</v>
      </c>
      <c r="L464">
        <f t="shared" si="23"/>
        <v>59.519999999999996</v>
      </c>
    </row>
    <row r="465" spans="1:12" x14ac:dyDescent="0.2">
      <c r="A465" t="s">
        <v>472</v>
      </c>
      <c r="B465" s="6">
        <v>45682</v>
      </c>
      <c r="C465" t="s">
        <v>511</v>
      </c>
      <c r="D465" t="s">
        <v>517</v>
      </c>
      <c r="E465" t="s">
        <v>519</v>
      </c>
      <c r="F465" t="s">
        <v>532</v>
      </c>
      <c r="G465">
        <v>3</v>
      </c>
      <c r="H465">
        <v>21.07</v>
      </c>
      <c r="I465">
        <v>11.53</v>
      </c>
      <c r="J465">
        <f t="shared" si="21"/>
        <v>63.21</v>
      </c>
      <c r="K465">
        <f t="shared" si="22"/>
        <v>51.68</v>
      </c>
      <c r="L465">
        <f t="shared" si="23"/>
        <v>34.589999999999996</v>
      </c>
    </row>
    <row r="466" spans="1:12" x14ac:dyDescent="0.2">
      <c r="A466" t="s">
        <v>473</v>
      </c>
      <c r="B466" s="6">
        <v>45687</v>
      </c>
      <c r="C466" t="s">
        <v>510</v>
      </c>
      <c r="D466" t="s">
        <v>514</v>
      </c>
      <c r="E466" t="s">
        <v>518</v>
      </c>
      <c r="F466" t="s">
        <v>522</v>
      </c>
      <c r="G466">
        <v>1</v>
      </c>
      <c r="H466">
        <v>24.44</v>
      </c>
      <c r="I466">
        <v>13.64</v>
      </c>
      <c r="J466">
        <f t="shared" si="21"/>
        <v>24.44</v>
      </c>
      <c r="K466">
        <f t="shared" si="22"/>
        <v>10.8</v>
      </c>
      <c r="L466">
        <f t="shared" si="23"/>
        <v>13.64</v>
      </c>
    </row>
    <row r="467" spans="1:12" x14ac:dyDescent="0.2">
      <c r="A467" t="s">
        <v>474</v>
      </c>
      <c r="B467" s="6">
        <v>45775</v>
      </c>
      <c r="C467" t="s">
        <v>510</v>
      </c>
      <c r="D467" t="s">
        <v>514</v>
      </c>
      <c r="E467" t="s">
        <v>518</v>
      </c>
      <c r="F467" t="s">
        <v>533</v>
      </c>
      <c r="G467">
        <v>3</v>
      </c>
      <c r="H467">
        <v>23.9</v>
      </c>
      <c r="I467">
        <v>12</v>
      </c>
      <c r="J467">
        <f t="shared" si="21"/>
        <v>71.699999999999989</v>
      </c>
      <c r="K467">
        <f t="shared" si="22"/>
        <v>59.699999999999989</v>
      </c>
      <c r="L467">
        <f t="shared" si="23"/>
        <v>36</v>
      </c>
    </row>
    <row r="468" spans="1:12" x14ac:dyDescent="0.2">
      <c r="A468" t="s">
        <v>475</v>
      </c>
      <c r="B468" s="6">
        <v>45665</v>
      </c>
      <c r="C468" t="s">
        <v>513</v>
      </c>
      <c r="D468" t="s">
        <v>514</v>
      </c>
      <c r="E468" t="s">
        <v>519</v>
      </c>
      <c r="F468" t="s">
        <v>534</v>
      </c>
      <c r="G468">
        <v>3</v>
      </c>
      <c r="H468">
        <v>23.07</v>
      </c>
      <c r="I468">
        <v>14.59</v>
      </c>
      <c r="J468">
        <f t="shared" si="21"/>
        <v>69.210000000000008</v>
      </c>
      <c r="K468">
        <f t="shared" si="22"/>
        <v>54.620000000000005</v>
      </c>
      <c r="L468">
        <f t="shared" si="23"/>
        <v>43.769999999999996</v>
      </c>
    </row>
    <row r="469" spans="1:12" x14ac:dyDescent="0.2">
      <c r="A469" t="s">
        <v>476</v>
      </c>
      <c r="B469" s="6">
        <v>45705</v>
      </c>
      <c r="C469" t="s">
        <v>511</v>
      </c>
      <c r="D469" t="s">
        <v>516</v>
      </c>
      <c r="E469" t="s">
        <v>521</v>
      </c>
      <c r="F469" t="s">
        <v>527</v>
      </c>
      <c r="G469">
        <v>6</v>
      </c>
      <c r="H469">
        <v>21.79</v>
      </c>
      <c r="I469">
        <v>10.69</v>
      </c>
      <c r="J469">
        <f t="shared" si="21"/>
        <v>130.74</v>
      </c>
      <c r="K469">
        <f t="shared" si="22"/>
        <v>120.05000000000001</v>
      </c>
      <c r="L469">
        <f t="shared" si="23"/>
        <v>64.14</v>
      </c>
    </row>
    <row r="470" spans="1:12" x14ac:dyDescent="0.2">
      <c r="A470" t="s">
        <v>477</v>
      </c>
      <c r="B470" s="6">
        <v>45751</v>
      </c>
      <c r="C470" t="s">
        <v>511</v>
      </c>
      <c r="D470" t="s">
        <v>515</v>
      </c>
      <c r="E470" t="s">
        <v>519</v>
      </c>
      <c r="F470" t="s">
        <v>524</v>
      </c>
      <c r="G470">
        <v>6</v>
      </c>
      <c r="H470">
        <v>17.350000000000001</v>
      </c>
      <c r="I470">
        <v>7.85</v>
      </c>
      <c r="J470">
        <f t="shared" si="21"/>
        <v>104.10000000000001</v>
      </c>
      <c r="K470">
        <f t="shared" si="22"/>
        <v>96.250000000000014</v>
      </c>
      <c r="L470">
        <f t="shared" si="23"/>
        <v>47.099999999999994</v>
      </c>
    </row>
    <row r="471" spans="1:12" x14ac:dyDescent="0.2">
      <c r="A471" t="s">
        <v>478</v>
      </c>
      <c r="B471" s="6">
        <v>45743</v>
      </c>
      <c r="C471" t="s">
        <v>510</v>
      </c>
      <c r="D471" t="s">
        <v>514</v>
      </c>
      <c r="E471" t="s">
        <v>521</v>
      </c>
      <c r="F471" t="s">
        <v>529</v>
      </c>
      <c r="G471">
        <v>7</v>
      </c>
      <c r="H471">
        <v>15.12</v>
      </c>
      <c r="I471">
        <v>7.44</v>
      </c>
      <c r="J471">
        <f t="shared" si="21"/>
        <v>105.83999999999999</v>
      </c>
      <c r="K471">
        <f t="shared" si="22"/>
        <v>98.399999999999991</v>
      </c>
      <c r="L471">
        <f t="shared" si="23"/>
        <v>52.080000000000005</v>
      </c>
    </row>
    <row r="472" spans="1:12" x14ac:dyDescent="0.2">
      <c r="A472" t="s">
        <v>479</v>
      </c>
      <c r="B472" s="6">
        <v>45680</v>
      </c>
      <c r="C472" t="s">
        <v>513</v>
      </c>
      <c r="D472" t="s">
        <v>515</v>
      </c>
      <c r="E472" t="s">
        <v>521</v>
      </c>
      <c r="F472" t="s">
        <v>529</v>
      </c>
      <c r="G472">
        <v>1</v>
      </c>
      <c r="H472">
        <v>16.62</v>
      </c>
      <c r="I472">
        <v>7.56</v>
      </c>
      <c r="J472">
        <f t="shared" si="21"/>
        <v>16.62</v>
      </c>
      <c r="K472">
        <f t="shared" si="22"/>
        <v>9.0600000000000023</v>
      </c>
      <c r="L472">
        <f t="shared" si="23"/>
        <v>7.56</v>
      </c>
    </row>
    <row r="473" spans="1:12" x14ac:dyDescent="0.2">
      <c r="A473" t="s">
        <v>480</v>
      </c>
      <c r="B473" s="6">
        <v>45739</v>
      </c>
      <c r="C473" t="s">
        <v>510</v>
      </c>
      <c r="D473" t="s">
        <v>516</v>
      </c>
      <c r="E473" t="s">
        <v>521</v>
      </c>
      <c r="F473" t="s">
        <v>529</v>
      </c>
      <c r="G473">
        <v>8</v>
      </c>
      <c r="H473">
        <v>6.49</v>
      </c>
      <c r="I473">
        <v>2.87</v>
      </c>
      <c r="J473">
        <f t="shared" si="21"/>
        <v>51.92</v>
      </c>
      <c r="K473">
        <f t="shared" si="22"/>
        <v>49.050000000000004</v>
      </c>
      <c r="L473">
        <f t="shared" si="23"/>
        <v>22.96</v>
      </c>
    </row>
    <row r="474" spans="1:12" x14ac:dyDescent="0.2">
      <c r="A474" t="s">
        <v>481</v>
      </c>
      <c r="B474" s="6">
        <v>45702</v>
      </c>
      <c r="C474" t="s">
        <v>509</v>
      </c>
      <c r="D474" t="s">
        <v>514</v>
      </c>
      <c r="E474" t="s">
        <v>518</v>
      </c>
      <c r="F474" t="s">
        <v>536</v>
      </c>
      <c r="G474">
        <v>2</v>
      </c>
      <c r="H474">
        <v>17.420000000000002</v>
      </c>
      <c r="I474">
        <v>11.26</v>
      </c>
      <c r="J474">
        <f t="shared" si="21"/>
        <v>34.840000000000003</v>
      </c>
      <c r="K474">
        <f t="shared" si="22"/>
        <v>23.580000000000005</v>
      </c>
      <c r="L474">
        <f t="shared" si="23"/>
        <v>22.52</v>
      </c>
    </row>
    <row r="475" spans="1:12" x14ac:dyDescent="0.2">
      <c r="A475" t="s">
        <v>482</v>
      </c>
      <c r="B475" s="6">
        <v>45659</v>
      </c>
      <c r="C475" t="s">
        <v>509</v>
      </c>
      <c r="D475" t="s">
        <v>514</v>
      </c>
      <c r="E475" t="s">
        <v>521</v>
      </c>
      <c r="F475" t="s">
        <v>530</v>
      </c>
      <c r="G475">
        <v>4</v>
      </c>
      <c r="H475">
        <v>24.83</v>
      </c>
      <c r="I475">
        <v>15.1</v>
      </c>
      <c r="J475">
        <f t="shared" si="21"/>
        <v>99.32</v>
      </c>
      <c r="K475">
        <f t="shared" si="22"/>
        <v>84.22</v>
      </c>
      <c r="L475">
        <f t="shared" si="23"/>
        <v>60.4</v>
      </c>
    </row>
    <row r="476" spans="1:12" x14ac:dyDescent="0.2">
      <c r="A476" t="s">
        <v>483</v>
      </c>
      <c r="B476" s="6">
        <v>45758</v>
      </c>
      <c r="C476" t="s">
        <v>513</v>
      </c>
      <c r="D476" t="s">
        <v>516</v>
      </c>
      <c r="E476" t="s">
        <v>521</v>
      </c>
      <c r="F476" t="s">
        <v>528</v>
      </c>
      <c r="G476">
        <v>1</v>
      </c>
      <c r="H476">
        <v>26.22</v>
      </c>
      <c r="I476">
        <v>13.52</v>
      </c>
      <c r="J476">
        <f t="shared" si="21"/>
        <v>26.22</v>
      </c>
      <c r="K476">
        <f t="shared" si="22"/>
        <v>12.7</v>
      </c>
      <c r="L476">
        <f t="shared" si="23"/>
        <v>13.52</v>
      </c>
    </row>
    <row r="477" spans="1:12" x14ac:dyDescent="0.2">
      <c r="A477" t="s">
        <v>484</v>
      </c>
      <c r="B477" s="6">
        <v>45771</v>
      </c>
      <c r="C477" t="s">
        <v>511</v>
      </c>
      <c r="D477" t="s">
        <v>515</v>
      </c>
      <c r="E477" t="s">
        <v>520</v>
      </c>
      <c r="F477" t="s">
        <v>525</v>
      </c>
      <c r="G477">
        <v>7</v>
      </c>
      <c r="H477">
        <v>58.75</v>
      </c>
      <c r="I477">
        <v>29.69</v>
      </c>
      <c r="J477">
        <f t="shared" si="21"/>
        <v>411.25</v>
      </c>
      <c r="K477">
        <f t="shared" si="22"/>
        <v>381.56</v>
      </c>
      <c r="L477">
        <f t="shared" si="23"/>
        <v>207.83</v>
      </c>
    </row>
    <row r="478" spans="1:12" x14ac:dyDescent="0.2">
      <c r="A478" t="s">
        <v>485</v>
      </c>
      <c r="B478" s="6">
        <v>45764</v>
      </c>
      <c r="C478" t="s">
        <v>511</v>
      </c>
      <c r="D478" t="s">
        <v>514</v>
      </c>
      <c r="E478" t="s">
        <v>520</v>
      </c>
      <c r="F478" t="s">
        <v>525</v>
      </c>
      <c r="G478">
        <v>3</v>
      </c>
      <c r="H478">
        <v>62.88</v>
      </c>
      <c r="I478">
        <v>33.67</v>
      </c>
      <c r="J478">
        <f t="shared" si="21"/>
        <v>188.64000000000001</v>
      </c>
      <c r="K478">
        <f t="shared" si="22"/>
        <v>154.97000000000003</v>
      </c>
      <c r="L478">
        <f t="shared" si="23"/>
        <v>101.01</v>
      </c>
    </row>
    <row r="479" spans="1:12" x14ac:dyDescent="0.2">
      <c r="A479" t="s">
        <v>486</v>
      </c>
      <c r="B479" s="6">
        <v>45660</v>
      </c>
      <c r="C479" t="s">
        <v>509</v>
      </c>
      <c r="D479" t="s">
        <v>517</v>
      </c>
      <c r="E479" t="s">
        <v>518</v>
      </c>
      <c r="F479" t="s">
        <v>533</v>
      </c>
      <c r="G479">
        <v>2</v>
      </c>
      <c r="H479">
        <v>26.56</v>
      </c>
      <c r="I479">
        <v>11.22</v>
      </c>
      <c r="J479">
        <f t="shared" si="21"/>
        <v>53.12</v>
      </c>
      <c r="K479">
        <f t="shared" si="22"/>
        <v>41.9</v>
      </c>
      <c r="L479">
        <f t="shared" si="23"/>
        <v>22.44</v>
      </c>
    </row>
    <row r="480" spans="1:12" x14ac:dyDescent="0.2">
      <c r="A480" t="s">
        <v>487</v>
      </c>
      <c r="B480" s="6">
        <v>45678</v>
      </c>
      <c r="C480" t="s">
        <v>513</v>
      </c>
      <c r="D480" t="s">
        <v>516</v>
      </c>
      <c r="E480" t="s">
        <v>519</v>
      </c>
      <c r="F480" t="s">
        <v>526</v>
      </c>
      <c r="G480">
        <v>6</v>
      </c>
      <c r="H480">
        <v>35.39</v>
      </c>
      <c r="I480">
        <v>20.46</v>
      </c>
      <c r="J480">
        <f t="shared" si="21"/>
        <v>212.34</v>
      </c>
      <c r="K480">
        <f t="shared" si="22"/>
        <v>191.88</v>
      </c>
      <c r="L480">
        <f t="shared" si="23"/>
        <v>122.76</v>
      </c>
    </row>
    <row r="481" spans="1:12" x14ac:dyDescent="0.2">
      <c r="A481" t="s">
        <v>488</v>
      </c>
      <c r="B481" s="6">
        <v>45713</v>
      </c>
      <c r="C481" t="s">
        <v>512</v>
      </c>
      <c r="D481" t="s">
        <v>515</v>
      </c>
      <c r="E481" t="s">
        <v>520</v>
      </c>
      <c r="F481" t="s">
        <v>525</v>
      </c>
      <c r="G481">
        <v>3</v>
      </c>
      <c r="H481">
        <v>65.599999999999994</v>
      </c>
      <c r="I481">
        <v>27.29</v>
      </c>
      <c r="J481">
        <f t="shared" si="21"/>
        <v>196.79999999999998</v>
      </c>
      <c r="K481">
        <f t="shared" si="22"/>
        <v>169.51</v>
      </c>
      <c r="L481">
        <f t="shared" si="23"/>
        <v>81.87</v>
      </c>
    </row>
    <row r="482" spans="1:12" x14ac:dyDescent="0.2">
      <c r="A482" t="s">
        <v>489</v>
      </c>
      <c r="B482" s="6">
        <v>45682</v>
      </c>
      <c r="C482" t="s">
        <v>511</v>
      </c>
      <c r="D482" t="s">
        <v>517</v>
      </c>
      <c r="E482" t="s">
        <v>521</v>
      </c>
      <c r="F482" t="s">
        <v>529</v>
      </c>
      <c r="G482">
        <v>5</v>
      </c>
      <c r="H482">
        <v>17.36</v>
      </c>
      <c r="I482">
        <v>8.49</v>
      </c>
      <c r="J482">
        <f t="shared" si="21"/>
        <v>86.8</v>
      </c>
      <c r="K482">
        <f t="shared" si="22"/>
        <v>78.31</v>
      </c>
      <c r="L482">
        <f t="shared" si="23"/>
        <v>42.45</v>
      </c>
    </row>
    <row r="483" spans="1:12" x14ac:dyDescent="0.2">
      <c r="A483" t="s">
        <v>490</v>
      </c>
      <c r="B483" s="6">
        <v>45708</v>
      </c>
      <c r="C483" t="s">
        <v>510</v>
      </c>
      <c r="D483" t="s">
        <v>515</v>
      </c>
      <c r="E483" t="s">
        <v>518</v>
      </c>
      <c r="F483" t="s">
        <v>522</v>
      </c>
      <c r="G483">
        <v>3</v>
      </c>
      <c r="H483">
        <v>20.22</v>
      </c>
      <c r="I483">
        <v>8.42</v>
      </c>
      <c r="J483">
        <f t="shared" si="21"/>
        <v>60.66</v>
      </c>
      <c r="K483">
        <f t="shared" si="22"/>
        <v>52.239999999999995</v>
      </c>
      <c r="L483">
        <f t="shared" si="23"/>
        <v>25.259999999999998</v>
      </c>
    </row>
    <row r="484" spans="1:12" x14ac:dyDescent="0.2">
      <c r="A484" t="s">
        <v>491</v>
      </c>
      <c r="B484" s="6">
        <v>45669</v>
      </c>
      <c r="C484" t="s">
        <v>509</v>
      </c>
      <c r="D484" t="s">
        <v>515</v>
      </c>
      <c r="E484" t="s">
        <v>518</v>
      </c>
      <c r="F484" t="s">
        <v>537</v>
      </c>
      <c r="G484">
        <v>4</v>
      </c>
      <c r="H484">
        <v>16.97</v>
      </c>
      <c r="I484">
        <v>7.28</v>
      </c>
      <c r="J484">
        <f t="shared" si="21"/>
        <v>67.88</v>
      </c>
      <c r="K484">
        <f t="shared" si="22"/>
        <v>60.599999999999994</v>
      </c>
      <c r="L484">
        <f t="shared" si="23"/>
        <v>29.12</v>
      </c>
    </row>
    <row r="485" spans="1:12" x14ac:dyDescent="0.2">
      <c r="A485" t="s">
        <v>492</v>
      </c>
      <c r="B485" s="6">
        <v>45739</v>
      </c>
      <c r="C485" t="s">
        <v>509</v>
      </c>
      <c r="D485" t="s">
        <v>516</v>
      </c>
      <c r="E485" t="s">
        <v>519</v>
      </c>
      <c r="F485" t="s">
        <v>524</v>
      </c>
      <c r="G485">
        <v>8</v>
      </c>
      <c r="H485">
        <v>21.02</v>
      </c>
      <c r="I485">
        <v>13.73</v>
      </c>
      <c r="J485">
        <f t="shared" si="21"/>
        <v>168.16</v>
      </c>
      <c r="K485">
        <f t="shared" si="22"/>
        <v>154.43</v>
      </c>
      <c r="L485">
        <f t="shared" si="23"/>
        <v>109.84</v>
      </c>
    </row>
    <row r="486" spans="1:12" x14ac:dyDescent="0.2">
      <c r="A486" t="s">
        <v>493</v>
      </c>
      <c r="B486" s="6">
        <v>45718</v>
      </c>
      <c r="C486" t="s">
        <v>511</v>
      </c>
      <c r="D486" t="s">
        <v>517</v>
      </c>
      <c r="E486" t="s">
        <v>521</v>
      </c>
      <c r="F486" t="s">
        <v>530</v>
      </c>
      <c r="G486">
        <v>2</v>
      </c>
      <c r="H486">
        <v>14.22</v>
      </c>
      <c r="I486">
        <v>8.43</v>
      </c>
      <c r="J486">
        <f t="shared" si="21"/>
        <v>28.44</v>
      </c>
      <c r="K486">
        <f t="shared" si="22"/>
        <v>20.010000000000002</v>
      </c>
      <c r="L486">
        <f t="shared" si="23"/>
        <v>16.86</v>
      </c>
    </row>
    <row r="487" spans="1:12" x14ac:dyDescent="0.2">
      <c r="A487" t="s">
        <v>494</v>
      </c>
      <c r="B487" s="6">
        <v>45705</v>
      </c>
      <c r="C487" t="s">
        <v>511</v>
      </c>
      <c r="D487" t="s">
        <v>517</v>
      </c>
      <c r="E487" t="s">
        <v>520</v>
      </c>
      <c r="F487" t="s">
        <v>525</v>
      </c>
      <c r="G487">
        <v>3</v>
      </c>
      <c r="H487">
        <v>52.89</v>
      </c>
      <c r="I487">
        <v>28.23</v>
      </c>
      <c r="J487">
        <f t="shared" si="21"/>
        <v>158.67000000000002</v>
      </c>
      <c r="K487">
        <f t="shared" si="22"/>
        <v>130.44000000000003</v>
      </c>
      <c r="L487">
        <f t="shared" si="23"/>
        <v>84.69</v>
      </c>
    </row>
    <row r="488" spans="1:12" x14ac:dyDescent="0.2">
      <c r="A488" t="s">
        <v>495</v>
      </c>
      <c r="B488" s="6">
        <v>45717</v>
      </c>
      <c r="C488" t="s">
        <v>509</v>
      </c>
      <c r="D488" t="s">
        <v>514</v>
      </c>
      <c r="E488" t="s">
        <v>521</v>
      </c>
      <c r="F488" t="s">
        <v>530</v>
      </c>
      <c r="G488">
        <v>5</v>
      </c>
      <c r="H488">
        <v>14.77</v>
      </c>
      <c r="I488">
        <v>8.41</v>
      </c>
      <c r="J488">
        <f t="shared" si="21"/>
        <v>73.849999999999994</v>
      </c>
      <c r="K488">
        <f t="shared" si="22"/>
        <v>65.44</v>
      </c>
      <c r="L488">
        <f t="shared" si="23"/>
        <v>42.05</v>
      </c>
    </row>
    <row r="489" spans="1:12" x14ac:dyDescent="0.2">
      <c r="A489" t="s">
        <v>496</v>
      </c>
      <c r="B489" s="6">
        <v>45668</v>
      </c>
      <c r="C489" t="s">
        <v>509</v>
      </c>
      <c r="D489" t="s">
        <v>515</v>
      </c>
      <c r="E489" t="s">
        <v>519</v>
      </c>
      <c r="F489" t="s">
        <v>535</v>
      </c>
      <c r="G489">
        <v>4</v>
      </c>
      <c r="H489">
        <v>14.59</v>
      </c>
      <c r="I489">
        <v>8.26</v>
      </c>
      <c r="J489">
        <f t="shared" si="21"/>
        <v>58.36</v>
      </c>
      <c r="K489">
        <f t="shared" si="22"/>
        <v>50.1</v>
      </c>
      <c r="L489">
        <f t="shared" si="23"/>
        <v>33.04</v>
      </c>
    </row>
    <row r="490" spans="1:12" x14ac:dyDescent="0.2">
      <c r="A490" t="s">
        <v>497</v>
      </c>
      <c r="B490" s="6">
        <v>45726</v>
      </c>
      <c r="C490" t="s">
        <v>511</v>
      </c>
      <c r="D490" t="s">
        <v>514</v>
      </c>
      <c r="E490" t="s">
        <v>520</v>
      </c>
      <c r="F490" t="s">
        <v>531</v>
      </c>
      <c r="G490">
        <v>8</v>
      </c>
      <c r="H490">
        <v>68.44</v>
      </c>
      <c r="I490">
        <v>33.51</v>
      </c>
      <c r="J490">
        <f t="shared" si="21"/>
        <v>547.52</v>
      </c>
      <c r="K490">
        <f t="shared" si="22"/>
        <v>514.01</v>
      </c>
      <c r="L490">
        <f t="shared" si="23"/>
        <v>268.08</v>
      </c>
    </row>
    <row r="491" spans="1:12" x14ac:dyDescent="0.2">
      <c r="A491" t="s">
        <v>498</v>
      </c>
      <c r="B491" s="6">
        <v>45722</v>
      </c>
      <c r="C491" t="s">
        <v>510</v>
      </c>
      <c r="D491" t="s">
        <v>514</v>
      </c>
      <c r="E491" t="s">
        <v>520</v>
      </c>
      <c r="F491" t="s">
        <v>525</v>
      </c>
      <c r="G491">
        <v>2</v>
      </c>
      <c r="H491">
        <v>64.41</v>
      </c>
      <c r="I491">
        <v>44.11</v>
      </c>
      <c r="J491">
        <f t="shared" si="21"/>
        <v>128.82</v>
      </c>
      <c r="K491">
        <f t="shared" si="22"/>
        <v>84.71</v>
      </c>
      <c r="L491">
        <f t="shared" si="23"/>
        <v>88.22</v>
      </c>
    </row>
    <row r="492" spans="1:12" x14ac:dyDescent="0.2">
      <c r="A492" t="s">
        <v>499</v>
      </c>
      <c r="B492" s="6">
        <v>45679</v>
      </c>
      <c r="C492" t="s">
        <v>512</v>
      </c>
      <c r="D492" t="s">
        <v>514</v>
      </c>
      <c r="E492" t="s">
        <v>520</v>
      </c>
      <c r="F492" t="s">
        <v>525</v>
      </c>
      <c r="G492">
        <v>3</v>
      </c>
      <c r="H492">
        <v>59.96</v>
      </c>
      <c r="I492">
        <v>24.75</v>
      </c>
      <c r="J492">
        <f t="shared" si="21"/>
        <v>179.88</v>
      </c>
      <c r="K492">
        <f t="shared" si="22"/>
        <v>155.13</v>
      </c>
      <c r="L492">
        <f t="shared" si="23"/>
        <v>74.25</v>
      </c>
    </row>
    <row r="493" spans="1:12" x14ac:dyDescent="0.2">
      <c r="A493" t="s">
        <v>500</v>
      </c>
      <c r="B493" s="6">
        <v>45683</v>
      </c>
      <c r="C493" t="s">
        <v>512</v>
      </c>
      <c r="D493" t="s">
        <v>517</v>
      </c>
      <c r="E493" t="s">
        <v>518</v>
      </c>
      <c r="F493" t="s">
        <v>537</v>
      </c>
      <c r="G493">
        <v>6</v>
      </c>
      <c r="H493">
        <v>32.4</v>
      </c>
      <c r="I493">
        <v>21.81</v>
      </c>
      <c r="J493">
        <f t="shared" si="21"/>
        <v>194.39999999999998</v>
      </c>
      <c r="K493">
        <f t="shared" si="22"/>
        <v>172.58999999999997</v>
      </c>
      <c r="L493">
        <f t="shared" si="23"/>
        <v>130.85999999999999</v>
      </c>
    </row>
    <row r="494" spans="1:12" x14ac:dyDescent="0.2">
      <c r="A494" t="s">
        <v>501</v>
      </c>
      <c r="B494" s="6">
        <v>45707</v>
      </c>
      <c r="C494" t="s">
        <v>510</v>
      </c>
      <c r="D494" t="s">
        <v>515</v>
      </c>
      <c r="E494" t="s">
        <v>518</v>
      </c>
      <c r="F494" t="s">
        <v>522</v>
      </c>
      <c r="G494">
        <v>6</v>
      </c>
      <c r="H494">
        <v>25.39</v>
      </c>
      <c r="I494">
        <v>16.68</v>
      </c>
      <c r="J494">
        <f t="shared" si="21"/>
        <v>152.34</v>
      </c>
      <c r="K494">
        <f t="shared" si="22"/>
        <v>135.66</v>
      </c>
      <c r="L494">
        <f t="shared" si="23"/>
        <v>100.08</v>
      </c>
    </row>
    <row r="495" spans="1:12" x14ac:dyDescent="0.2">
      <c r="A495" t="s">
        <v>502</v>
      </c>
      <c r="B495" s="6">
        <v>45758</v>
      </c>
      <c r="C495" t="s">
        <v>510</v>
      </c>
      <c r="D495" t="s">
        <v>515</v>
      </c>
      <c r="E495" t="s">
        <v>520</v>
      </c>
      <c r="F495" t="s">
        <v>525</v>
      </c>
      <c r="G495">
        <v>2</v>
      </c>
      <c r="H495">
        <v>55.69</v>
      </c>
      <c r="I495">
        <v>29.2</v>
      </c>
      <c r="J495">
        <f t="shared" si="21"/>
        <v>111.38</v>
      </c>
      <c r="K495">
        <f t="shared" si="22"/>
        <v>82.179999999999993</v>
      </c>
      <c r="L495">
        <f t="shared" si="23"/>
        <v>58.4</v>
      </c>
    </row>
    <row r="496" spans="1:12" x14ac:dyDescent="0.2">
      <c r="A496" t="s">
        <v>503</v>
      </c>
      <c r="B496" s="6">
        <v>45733</v>
      </c>
      <c r="C496" t="s">
        <v>510</v>
      </c>
      <c r="D496" t="s">
        <v>516</v>
      </c>
      <c r="E496" t="s">
        <v>519</v>
      </c>
      <c r="F496" t="s">
        <v>532</v>
      </c>
      <c r="G496">
        <v>2</v>
      </c>
      <c r="H496">
        <v>27.62</v>
      </c>
      <c r="I496">
        <v>15.71</v>
      </c>
      <c r="J496">
        <f t="shared" si="21"/>
        <v>55.24</v>
      </c>
      <c r="K496">
        <f t="shared" si="22"/>
        <v>39.53</v>
      </c>
      <c r="L496">
        <f t="shared" si="23"/>
        <v>31.42</v>
      </c>
    </row>
    <row r="497" spans="1:12" x14ac:dyDescent="0.2">
      <c r="A497" t="s">
        <v>504</v>
      </c>
      <c r="B497" s="6">
        <v>45769</v>
      </c>
      <c r="C497" t="s">
        <v>510</v>
      </c>
      <c r="D497" t="s">
        <v>517</v>
      </c>
      <c r="E497" t="s">
        <v>518</v>
      </c>
      <c r="F497" t="s">
        <v>533</v>
      </c>
      <c r="G497">
        <v>7</v>
      </c>
      <c r="H497">
        <v>27.69</v>
      </c>
      <c r="I497">
        <v>13.27</v>
      </c>
      <c r="J497">
        <f t="shared" si="21"/>
        <v>193.83</v>
      </c>
      <c r="K497">
        <f t="shared" si="22"/>
        <v>180.56</v>
      </c>
      <c r="L497">
        <f t="shared" si="23"/>
        <v>92.89</v>
      </c>
    </row>
    <row r="498" spans="1:12" x14ac:dyDescent="0.2">
      <c r="A498" t="s">
        <v>505</v>
      </c>
      <c r="B498" s="6">
        <v>45662</v>
      </c>
      <c r="C498" t="s">
        <v>512</v>
      </c>
      <c r="D498" t="s">
        <v>517</v>
      </c>
      <c r="E498" t="s">
        <v>520</v>
      </c>
      <c r="F498" t="s">
        <v>531</v>
      </c>
      <c r="G498">
        <v>7</v>
      </c>
      <c r="H498">
        <v>54.81</v>
      </c>
      <c r="I498">
        <v>24.29</v>
      </c>
      <c r="J498">
        <f t="shared" si="21"/>
        <v>383.67</v>
      </c>
      <c r="K498">
        <f t="shared" si="22"/>
        <v>359.38</v>
      </c>
      <c r="L498">
        <f t="shared" si="23"/>
        <v>170.03</v>
      </c>
    </row>
    <row r="499" spans="1:12" x14ac:dyDescent="0.2">
      <c r="A499" t="s">
        <v>506</v>
      </c>
      <c r="B499" s="6">
        <v>45708</v>
      </c>
      <c r="C499" t="s">
        <v>509</v>
      </c>
      <c r="D499" t="s">
        <v>514</v>
      </c>
      <c r="E499" t="s">
        <v>520</v>
      </c>
      <c r="F499" t="s">
        <v>525</v>
      </c>
      <c r="G499">
        <v>1</v>
      </c>
      <c r="H499">
        <v>59.05</v>
      </c>
      <c r="I499">
        <v>36.83</v>
      </c>
      <c r="J499">
        <f t="shared" si="21"/>
        <v>59.05</v>
      </c>
      <c r="K499">
        <f t="shared" si="22"/>
        <v>22.22</v>
      </c>
      <c r="L499">
        <f t="shared" si="23"/>
        <v>36.83</v>
      </c>
    </row>
    <row r="500" spans="1:12" x14ac:dyDescent="0.2">
      <c r="A500" t="s">
        <v>507</v>
      </c>
      <c r="B500" s="6">
        <v>45660</v>
      </c>
      <c r="C500" t="s">
        <v>509</v>
      </c>
      <c r="D500" t="s">
        <v>517</v>
      </c>
      <c r="E500" t="s">
        <v>521</v>
      </c>
      <c r="F500" t="s">
        <v>528</v>
      </c>
      <c r="G500">
        <v>5</v>
      </c>
      <c r="H500">
        <v>13.62</v>
      </c>
      <c r="I500">
        <v>6.59</v>
      </c>
      <c r="J500">
        <f t="shared" si="21"/>
        <v>68.099999999999994</v>
      </c>
      <c r="K500">
        <f t="shared" si="22"/>
        <v>61.509999999999991</v>
      </c>
      <c r="L500">
        <f t="shared" si="23"/>
        <v>32.950000000000003</v>
      </c>
    </row>
    <row r="501" spans="1:12" x14ac:dyDescent="0.2">
      <c r="A501" t="s">
        <v>508</v>
      </c>
      <c r="B501" s="6">
        <v>45769</v>
      </c>
      <c r="C501" t="s">
        <v>512</v>
      </c>
      <c r="D501" t="s">
        <v>514</v>
      </c>
      <c r="E501" t="s">
        <v>520</v>
      </c>
      <c r="F501" t="s">
        <v>525</v>
      </c>
      <c r="G501">
        <v>5</v>
      </c>
      <c r="H501">
        <v>53.09</v>
      </c>
      <c r="I501">
        <v>36.75</v>
      </c>
      <c r="J501">
        <f t="shared" si="21"/>
        <v>265.45000000000005</v>
      </c>
      <c r="K501">
        <f t="shared" si="22"/>
        <v>228.70000000000005</v>
      </c>
      <c r="L501">
        <f t="shared" si="23"/>
        <v>183.75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Pivot_MonthlyTrend</vt:lpstr>
      <vt:lpstr>Pivot_StorePerformance</vt:lpstr>
      <vt:lpstr>Dashboard</vt:lpstr>
      <vt:lpstr>Pivot_Category</vt:lpstr>
      <vt:lpstr>Pivot_TopProducts</vt:lpstr>
      <vt:lpstr>SalesData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Syed Akif Hasan</cp:lastModifiedBy>
  <dcterms:created xsi:type="dcterms:W3CDTF">2026-06-01T06:32:20Z</dcterms:created>
  <dcterms:modified xsi:type="dcterms:W3CDTF">2026-06-02T01:39:27Z</dcterms:modified>
</cp:coreProperties>
</file>